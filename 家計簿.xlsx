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damoto/Documents/"/>
    </mc:Choice>
  </mc:AlternateContent>
  <xr:revisionPtr revIDLastSave="0" documentId="13_ncr:1_{F4905DD2-232F-8849-8765-4346CDC21BCE}" xr6:coauthVersionLast="47" xr6:coauthVersionMax="47" xr10:uidLastSave="{00000000-0000-0000-0000-000000000000}"/>
  <bookViews>
    <workbookView xWindow="220" yWindow="960" windowWidth="25000" windowHeight="14900" xr2:uid="{B7CEFEC0-0A03-8441-8DE1-3B291D97F9EE}"/>
  </bookViews>
  <sheets>
    <sheet name="２０２４０9" sheetId="4" r:id="rId1"/>
    <sheet name="２０２４０８" sheetId="1" r:id="rId2"/>
    <sheet name="毎月の予算" sheetId="2" r:id="rId3"/>
    <sheet name="マネックス入金" sheetId="5" r:id="rId4"/>
  </sheets>
  <definedNames>
    <definedName name="_xlnm._FilterDatabase" localSheetId="1" hidden="1">'２０２４０８'!$B$9:$O$80</definedName>
    <definedName name="_xlnm._FilterDatabase" localSheetId="0" hidden="1">'２０２４０9'!$B$10:$P$91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7" i="4" l="1"/>
  <c r="F96" i="4"/>
  <c r="F95" i="4"/>
  <c r="L6" i="4"/>
  <c r="C93" i="4"/>
  <c r="D93" i="4"/>
  <c r="D80" i="1"/>
  <c r="C13" i="2"/>
  <c r="C10" i="2"/>
  <c r="C80" i="1"/>
  <c r="K5" i="1"/>
  <c r="F98" i="4"/>
</calcChain>
</file>

<file path=xl/sharedStrings.xml><?xml version="1.0" encoding="utf-8"?>
<sst xmlns="http://schemas.openxmlformats.org/spreadsheetml/2006/main" count="370" uniqueCount="166">
  <si>
    <t>日付</t>
    <rPh sb="0" eb="2">
      <t>ヒヅケ</t>
    </rPh>
    <phoneticPr fontId="1"/>
  </si>
  <si>
    <t>収入</t>
    <rPh sb="0" eb="2">
      <t>シュウニュウ</t>
    </rPh>
    <phoneticPr fontId="1"/>
  </si>
  <si>
    <t>支出</t>
    <rPh sb="0" eb="2">
      <t>シシュテゥ</t>
    </rPh>
    <phoneticPr fontId="1"/>
  </si>
  <si>
    <t>費目</t>
    <rPh sb="0" eb="2">
      <t>ヒモク</t>
    </rPh>
    <phoneticPr fontId="1"/>
  </si>
  <si>
    <t>支払い方法</t>
    <rPh sb="0" eb="2">
      <t>シハライ</t>
    </rPh>
    <phoneticPr fontId="1"/>
  </si>
  <si>
    <t>カネスエ</t>
    <phoneticPr fontId="1"/>
  </si>
  <si>
    <t>楽天カード</t>
    <rPh sb="0" eb="2">
      <t>ラクテn</t>
    </rPh>
    <phoneticPr fontId="1"/>
  </si>
  <si>
    <t>船橋市</t>
    <rPh sb="0" eb="3">
      <t>フナバセィ</t>
    </rPh>
    <phoneticPr fontId="1"/>
  </si>
  <si>
    <t>交通費</t>
    <rPh sb="0" eb="3">
      <t>コウツウ</t>
    </rPh>
    <phoneticPr fontId="1"/>
  </si>
  <si>
    <t>SUICA</t>
    <phoneticPr fontId="1"/>
  </si>
  <si>
    <t>現有資産</t>
    <rPh sb="0" eb="2">
      <t>ゲンユ</t>
    </rPh>
    <rPh sb="2" eb="4">
      <t xml:space="preserve">シサン </t>
    </rPh>
    <phoneticPr fontId="1"/>
  </si>
  <si>
    <t>イオン銀行</t>
    <phoneticPr fontId="1"/>
  </si>
  <si>
    <t>ゆうちょ銀行</t>
    <phoneticPr fontId="1"/>
  </si>
  <si>
    <t>千葉銀行</t>
    <rPh sb="0" eb="4">
      <t>チバ</t>
    </rPh>
    <phoneticPr fontId="1"/>
  </si>
  <si>
    <t>佳奈</t>
    <rPh sb="0" eb="2">
      <t xml:space="preserve">カナ </t>
    </rPh>
    <phoneticPr fontId="1"/>
  </si>
  <si>
    <t>ゆうちょ振り込み</t>
    <rPh sb="4" eb="5">
      <t>フリコミ</t>
    </rPh>
    <phoneticPr fontId="1"/>
  </si>
  <si>
    <t>NHK</t>
    <phoneticPr fontId="1"/>
  </si>
  <si>
    <t>楽天カード27日引き落とし、イオンカード2日引き落とし</t>
    <rPh sb="0" eb="2">
      <t>ラクテn</t>
    </rPh>
    <rPh sb="7" eb="9">
      <t xml:space="preserve">ヒ </t>
    </rPh>
    <rPh sb="22" eb="23">
      <t>ヒキ</t>
    </rPh>
    <phoneticPr fontId="1"/>
  </si>
  <si>
    <t>補足</t>
    <rPh sb="0" eb="2">
      <t>ホソク</t>
    </rPh>
    <phoneticPr fontId="1"/>
  </si>
  <si>
    <t>電気</t>
    <rPh sb="0" eb="2">
      <t>デンキ</t>
    </rPh>
    <phoneticPr fontId="1"/>
  </si>
  <si>
    <t>東邦ガス</t>
    <rPh sb="0" eb="2">
      <t>トウホウガス</t>
    </rPh>
    <phoneticPr fontId="1"/>
  </si>
  <si>
    <t>水道</t>
    <rPh sb="0" eb="2">
      <t xml:space="preserve">スイドウ </t>
    </rPh>
    <phoneticPr fontId="1"/>
  </si>
  <si>
    <t>家賃</t>
    <rPh sb="0" eb="2">
      <t>ヤチn</t>
    </rPh>
    <phoneticPr fontId="1"/>
  </si>
  <si>
    <t>現金</t>
    <rPh sb="0" eb="2">
      <t>ゲンキ</t>
    </rPh>
    <phoneticPr fontId="1"/>
  </si>
  <si>
    <t>楽天カード</t>
    <rPh sb="0" eb="1">
      <t>ラクテn</t>
    </rPh>
    <phoneticPr fontId="1"/>
  </si>
  <si>
    <t>富士通カード解約</t>
    <rPh sb="0" eb="3">
      <t>フジツウ</t>
    </rPh>
    <rPh sb="6" eb="8">
      <t>カイヤク</t>
    </rPh>
    <phoneticPr fontId="1"/>
  </si>
  <si>
    <t>ジョーシン</t>
    <phoneticPr fontId="1"/>
  </si>
  <si>
    <t>airpods</t>
    <phoneticPr fontId="1"/>
  </si>
  <si>
    <t>ジュース</t>
    <phoneticPr fontId="1"/>
  </si>
  <si>
    <t>現金</t>
    <rPh sb="0" eb="1">
      <t>ゲンキn</t>
    </rPh>
    <phoneticPr fontId="1"/>
  </si>
  <si>
    <t>現金</t>
    <rPh sb="0" eb="2">
      <t>ゲンキn</t>
    </rPh>
    <phoneticPr fontId="1"/>
  </si>
  <si>
    <t>マツキヨ</t>
    <phoneticPr fontId="1"/>
  </si>
  <si>
    <t>ペイペイ</t>
    <phoneticPr fontId="1"/>
  </si>
  <si>
    <t>薬</t>
    <rPh sb="0" eb="1">
      <t>クスリ</t>
    </rPh>
    <phoneticPr fontId="1"/>
  </si>
  <si>
    <t>座卓到着</t>
    <rPh sb="0" eb="2">
      <t>ザタク</t>
    </rPh>
    <rPh sb="2" eb="4">
      <t>トウチャク</t>
    </rPh>
    <phoneticPr fontId="1"/>
  </si>
  <si>
    <t>月収（手取り）</t>
    <rPh sb="0" eb="2">
      <t>ゲッシュウ</t>
    </rPh>
    <rPh sb="3" eb="5">
      <t>テドリ</t>
    </rPh>
    <phoneticPr fontId="1"/>
  </si>
  <si>
    <t>住宅ローン</t>
    <rPh sb="0" eb="2">
      <t>ジュウタク</t>
    </rPh>
    <phoneticPr fontId="1"/>
  </si>
  <si>
    <t>管理費</t>
    <rPh sb="0" eb="3">
      <t>カンリ</t>
    </rPh>
    <phoneticPr fontId="1"/>
  </si>
  <si>
    <t>光熱費</t>
    <rPh sb="0" eb="3">
      <t>コウネテゥ</t>
    </rPh>
    <phoneticPr fontId="1"/>
  </si>
  <si>
    <t>スマホ</t>
    <phoneticPr fontId="1"/>
  </si>
  <si>
    <t>食費</t>
    <rPh sb="0" eb="2">
      <t>ショクヒ</t>
    </rPh>
    <phoneticPr fontId="1"/>
  </si>
  <si>
    <t>自動車</t>
    <rPh sb="0" eb="3">
      <t>ジドウ</t>
    </rPh>
    <phoneticPr fontId="1"/>
  </si>
  <si>
    <t>残額</t>
    <rPh sb="0" eb="2">
      <t>ザンガク</t>
    </rPh>
    <phoneticPr fontId="1"/>
  </si>
  <si>
    <t>NISA</t>
    <phoneticPr fontId="1"/>
  </si>
  <si>
    <t>貯金</t>
    <rPh sb="0" eb="2">
      <t>チョキn</t>
    </rPh>
    <phoneticPr fontId="1"/>
  </si>
  <si>
    <t>メモ</t>
    <phoneticPr fontId="1"/>
  </si>
  <si>
    <t>Total</t>
    <phoneticPr fontId="1"/>
  </si>
  <si>
    <t>給与・精算金入金</t>
    <rPh sb="0" eb="2">
      <t>キュウ</t>
    </rPh>
    <rPh sb="3" eb="6">
      <t>セイサンキn</t>
    </rPh>
    <rPh sb="6" eb="8">
      <t>ニュウキn</t>
    </rPh>
    <phoneticPr fontId="1"/>
  </si>
  <si>
    <t>楽天カード</t>
    <rPh sb="0" eb="2">
      <t>ラクテ</t>
    </rPh>
    <phoneticPr fontId="1"/>
  </si>
  <si>
    <t>交通費</t>
    <rPh sb="0" eb="1">
      <t>コウツウ</t>
    </rPh>
    <phoneticPr fontId="1"/>
  </si>
  <si>
    <t>一宮</t>
    <rPh sb="0" eb="2">
      <t>イチノミヤ</t>
    </rPh>
    <phoneticPr fontId="1"/>
  </si>
  <si>
    <t>ペイペイに現金2万円チャージ</t>
    <rPh sb="5" eb="7">
      <t>ゲンキn</t>
    </rPh>
    <phoneticPr fontId="1"/>
  </si>
  <si>
    <t>Ks</t>
    <phoneticPr fontId="1"/>
  </si>
  <si>
    <t>FireStick</t>
    <phoneticPr fontId="1"/>
  </si>
  <si>
    <t>ゲンキー</t>
    <phoneticPr fontId="1"/>
  </si>
  <si>
    <t>虫スプレー</t>
    <rPh sb="0" eb="1">
      <t xml:space="preserve">ムシ </t>
    </rPh>
    <phoneticPr fontId="1"/>
  </si>
  <si>
    <t>ジュース、遊興</t>
    <rPh sb="5" eb="7">
      <t>ユウキョウ</t>
    </rPh>
    <phoneticPr fontId="1"/>
  </si>
  <si>
    <t>給与</t>
    <rPh sb="0" eb="2">
      <t>キュウヨ</t>
    </rPh>
    <phoneticPr fontId="1"/>
  </si>
  <si>
    <t>富士通保険</t>
    <rPh sb="0" eb="5">
      <t>フジツウ</t>
    </rPh>
    <phoneticPr fontId="1"/>
  </si>
  <si>
    <t>マネックス証券</t>
    <rPh sb="5" eb="7">
      <t>ショウケn</t>
    </rPh>
    <phoneticPr fontId="1"/>
  </si>
  <si>
    <t>イオン銀行から入金</t>
    <rPh sb="7" eb="9">
      <t>ニュウキn</t>
    </rPh>
    <phoneticPr fontId="1"/>
  </si>
  <si>
    <t>まだ投資せず</t>
    <rPh sb="2" eb="4">
      <t>トウセィ</t>
    </rPh>
    <phoneticPr fontId="1"/>
  </si>
  <si>
    <t>遊興費</t>
    <rPh sb="0" eb="3">
      <t>ユウキョウ</t>
    </rPh>
    <phoneticPr fontId="1"/>
  </si>
  <si>
    <t>仲なか、四川</t>
    <rPh sb="0" eb="1">
      <t xml:space="preserve">ナカ </t>
    </rPh>
    <rPh sb="4" eb="6">
      <t>シセn</t>
    </rPh>
    <phoneticPr fontId="1"/>
  </si>
  <si>
    <t>SUICA</t>
  </si>
  <si>
    <t>大久保往復</t>
  </si>
  <si>
    <t>交通費</t>
  </si>
  <si>
    <t>イオンゴールド</t>
  </si>
  <si>
    <t>名古屋から東京</t>
  </si>
  <si>
    <t>ペイペイ</t>
  </si>
  <si>
    <t>楽天カード</t>
  </si>
  <si>
    <t>ういろう</t>
  </si>
  <si>
    <t>グリーン</t>
  </si>
  <si>
    <t>東京から船橋</t>
  </si>
  <si>
    <t>現金</t>
  </si>
  <si>
    <t>天王洲</t>
  </si>
  <si>
    <t>船橋ラーメン</t>
  </si>
  <si>
    <t>品川から船橋</t>
  </si>
  <si>
    <t>東京から名古屋</t>
  </si>
  <si>
    <t>マネックス</t>
  </si>
  <si>
    <t>イオン銀行から振り込み</t>
  </si>
  <si>
    <t>Suica</t>
  </si>
  <si>
    <t>ちびや</t>
    <phoneticPr fontId="1"/>
  </si>
  <si>
    <t>タバコ</t>
    <phoneticPr fontId="1"/>
  </si>
  <si>
    <t>ローソン</t>
    <phoneticPr fontId="1"/>
  </si>
  <si>
    <t>自動販売機</t>
    <rPh sb="0" eb="5">
      <t>ジドウ</t>
    </rPh>
    <phoneticPr fontId="1"/>
  </si>
  <si>
    <t>いなざわ</t>
    <phoneticPr fontId="1"/>
  </si>
  <si>
    <t>自動販売機</t>
    <rPh sb="0" eb="1">
      <t>ジドウ</t>
    </rPh>
    <phoneticPr fontId="1"/>
  </si>
  <si>
    <t>ラーメン屋</t>
    <phoneticPr fontId="1"/>
  </si>
  <si>
    <t>天王洲弁当屋</t>
    <rPh sb="0" eb="3">
      <t>テンノウ</t>
    </rPh>
    <rPh sb="3" eb="6">
      <t>b</t>
    </rPh>
    <phoneticPr fontId="1"/>
  </si>
  <si>
    <t>ゆで太郎</t>
    <phoneticPr fontId="1"/>
  </si>
  <si>
    <t>キオスク</t>
    <phoneticPr fontId="1"/>
  </si>
  <si>
    <t>すき家</t>
    <phoneticPr fontId="1"/>
  </si>
  <si>
    <t>マネックス</t>
    <phoneticPr fontId="1"/>
  </si>
  <si>
    <t>イオン銀行から引き落とし</t>
    <rPh sb="7" eb="8">
      <t>ヒキオトセィ</t>
    </rPh>
    <phoneticPr fontId="1"/>
  </si>
  <si>
    <t>icloud</t>
    <phoneticPr fontId="1"/>
  </si>
  <si>
    <t>楽天カード</t>
    <rPh sb="0" eb="2">
      <t>ラクテンカ</t>
    </rPh>
    <phoneticPr fontId="1"/>
  </si>
  <si>
    <t>コンビニ払い</t>
    <rPh sb="4" eb="5">
      <t>ハライ</t>
    </rPh>
    <phoneticPr fontId="1"/>
  </si>
  <si>
    <t>公共料金など</t>
    <rPh sb="0" eb="4">
      <t>コウキョ</t>
    </rPh>
    <phoneticPr fontId="1"/>
  </si>
  <si>
    <t>ペット保険</t>
    <phoneticPr fontId="1"/>
  </si>
  <si>
    <t>楽天カード（8/21）</t>
    <rPh sb="0" eb="2">
      <t>ラクテn</t>
    </rPh>
    <phoneticPr fontId="1"/>
  </si>
  <si>
    <t>楽天カード（毎月22日？）</t>
    <rPh sb="0" eb="2">
      <t>ラクテn</t>
    </rPh>
    <rPh sb="6" eb="8">
      <t>マイツキ</t>
    </rPh>
    <rPh sb="10" eb="11">
      <t xml:space="preserve">ヒ </t>
    </rPh>
    <phoneticPr fontId="1"/>
  </si>
  <si>
    <t>セブン</t>
    <phoneticPr fontId="1"/>
  </si>
  <si>
    <t>一ノ宮往復</t>
    <rPh sb="0" eb="1">
      <t>イチノミヤ</t>
    </rPh>
    <phoneticPr fontId="1"/>
  </si>
  <si>
    <t>一宮ラーメン</t>
    <rPh sb="0" eb="2">
      <t>イチノミヤ</t>
    </rPh>
    <phoneticPr fontId="1"/>
  </si>
  <si>
    <t>一宮駅</t>
    <phoneticPr fontId="1"/>
  </si>
  <si>
    <t>一宮ダイソー</t>
    <rPh sb="0" eb="2">
      <t>イチノミヤ</t>
    </rPh>
    <phoneticPr fontId="1"/>
  </si>
  <si>
    <t>遊興</t>
    <rPh sb="0" eb="2">
      <t xml:space="preserve">ユウキョウ </t>
    </rPh>
    <phoneticPr fontId="1"/>
  </si>
  <si>
    <t>イオン銀行から振り込み</t>
    <rPh sb="7" eb="8">
      <t>フリコミ</t>
    </rPh>
    <phoneticPr fontId="1"/>
  </si>
  <si>
    <t>給与、交通費振込予定</t>
    <rPh sb="0" eb="2">
      <t>キュウヨ</t>
    </rPh>
    <rPh sb="3" eb="6">
      <t>コウツウ</t>
    </rPh>
    <rPh sb="6" eb="10">
      <t>h</t>
    </rPh>
    <phoneticPr fontId="1"/>
  </si>
  <si>
    <t>賞与振込予定</t>
    <rPh sb="0" eb="2">
      <t>ショウヨ</t>
    </rPh>
    <rPh sb="2" eb="6">
      <t>フリ</t>
    </rPh>
    <phoneticPr fontId="1"/>
  </si>
  <si>
    <t>遊興</t>
    <rPh sb="0" eb="1">
      <t>ユウキョウ</t>
    </rPh>
    <phoneticPr fontId="1"/>
  </si>
  <si>
    <t>タバコなど</t>
    <phoneticPr fontId="1"/>
  </si>
  <si>
    <t>昼食</t>
    <rPh sb="0" eb="2">
      <t>チュウショク</t>
    </rPh>
    <phoneticPr fontId="1"/>
  </si>
  <si>
    <t>ダイソー</t>
    <phoneticPr fontId="1"/>
  </si>
  <si>
    <t>布団圧縮袋</t>
    <rPh sb="0" eb="5">
      <t>フトn</t>
    </rPh>
    <phoneticPr fontId="1"/>
  </si>
  <si>
    <t>虫スプレー</t>
    <rPh sb="0" eb="1">
      <t>ムシスプ</t>
    </rPh>
    <phoneticPr fontId="1"/>
  </si>
  <si>
    <t>毎月８日にイオン銀行からマネックスへ10万円自動振込</t>
  </si>
  <si>
    <t>積み立てNISA  11日にイオン銀行から5万円引き落とし</t>
  </si>
  <si>
    <t>On Compass  11日にマネックスから5万円引き落とし　</t>
  </si>
  <si>
    <t>遊興</t>
    <rPh sb="0" eb="2">
      <t>ユウキョウ</t>
    </rPh>
    <phoneticPr fontId="1"/>
  </si>
  <si>
    <t>楽天ペイ</t>
    <rPh sb="0" eb="2">
      <t>ラクテンペイ</t>
    </rPh>
    <phoneticPr fontId="1"/>
  </si>
  <si>
    <t>一宮、岐阜</t>
    <rPh sb="0" eb="1">
      <t>イチノミヤ</t>
    </rPh>
    <rPh sb="3" eb="5">
      <t>ギヘゥ</t>
    </rPh>
    <phoneticPr fontId="1"/>
  </si>
  <si>
    <t>SUICA入金</t>
    <rPh sb="5" eb="7">
      <t>ニュウキn</t>
    </rPh>
    <phoneticPr fontId="1"/>
  </si>
  <si>
    <t>楽天カード</t>
    <rPh sb="0" eb="2">
      <t>ラクテンカーデ</t>
    </rPh>
    <phoneticPr fontId="1"/>
  </si>
  <si>
    <t>楽天ペイ入金</t>
    <rPh sb="0" eb="2">
      <t>ラクテn</t>
    </rPh>
    <rPh sb="4" eb="6">
      <t>ニュウキn</t>
    </rPh>
    <phoneticPr fontId="1"/>
  </si>
  <si>
    <t>ファミマ</t>
    <phoneticPr fontId="1"/>
  </si>
  <si>
    <t>分類</t>
    <rPh sb="0" eb="2">
      <t>ブンルイ</t>
    </rPh>
    <phoneticPr fontId="1"/>
  </si>
  <si>
    <t>昼食</t>
    <rPh sb="0" eb="1">
      <t>チュウショク</t>
    </rPh>
    <phoneticPr fontId="1"/>
  </si>
  <si>
    <t>リーフウォーク天丼</t>
    <rPh sb="7" eb="9">
      <t>テンドn</t>
    </rPh>
    <phoneticPr fontId="1"/>
  </si>
  <si>
    <t>本</t>
    <rPh sb="0" eb="1">
      <t>ホn</t>
    </rPh>
    <phoneticPr fontId="1"/>
  </si>
  <si>
    <t>リーフウォーク</t>
    <phoneticPr fontId="1"/>
  </si>
  <si>
    <t>ワイシャツ</t>
    <phoneticPr fontId="1"/>
  </si>
  <si>
    <t>イオン金山</t>
    <rPh sb="3" eb="5">
      <t>カナヤマ</t>
    </rPh>
    <phoneticPr fontId="1"/>
  </si>
  <si>
    <t>Tシャツ</t>
    <phoneticPr fontId="1"/>
  </si>
  <si>
    <t>オーソリティ</t>
    <phoneticPr fontId="1"/>
  </si>
  <si>
    <t>串家</t>
    <rPh sb="0" eb="1">
      <t xml:space="preserve">クシヤ </t>
    </rPh>
    <rPh sb="1" eb="2">
      <t>イエ</t>
    </rPh>
    <phoneticPr fontId="1"/>
  </si>
  <si>
    <t>金山</t>
    <rPh sb="0" eb="2">
      <t>カナヤマ</t>
    </rPh>
    <phoneticPr fontId="1"/>
  </si>
  <si>
    <t>5000円</t>
    <phoneticPr fontId="1"/>
  </si>
  <si>
    <t>50000円NISA用</t>
    <rPh sb="10" eb="11">
      <t xml:space="preserve">ヨウ </t>
    </rPh>
    <phoneticPr fontId="1"/>
  </si>
  <si>
    <t>50000円積立NISA（以降は11日）</t>
    <rPh sb="6" eb="8">
      <t>ツミタテ</t>
    </rPh>
    <rPh sb="13" eb="15">
      <t>イコウ</t>
    </rPh>
    <phoneticPr fontId="1"/>
  </si>
  <si>
    <t>FX50000円</t>
    <phoneticPr fontId="1"/>
  </si>
  <si>
    <t>出張費</t>
    <rPh sb="0" eb="3">
      <t>シュッチョウ</t>
    </rPh>
    <phoneticPr fontId="1"/>
  </si>
  <si>
    <t>イオン銀行へ振込</t>
    <rPh sb="6" eb="8">
      <t>フリ</t>
    </rPh>
    <phoneticPr fontId="1"/>
  </si>
  <si>
    <t>吉田循環器内科</t>
    <rPh sb="0" eb="2">
      <t>ヨシダ</t>
    </rPh>
    <rPh sb="2" eb="5">
      <t>jy</t>
    </rPh>
    <rPh sb="5" eb="7">
      <t>ナイカ</t>
    </rPh>
    <phoneticPr fontId="1"/>
  </si>
  <si>
    <t>ゆうちょ引出し</t>
    <rPh sb="4" eb="6">
      <t>ヒキダセィ</t>
    </rPh>
    <phoneticPr fontId="1"/>
  </si>
  <si>
    <t>50330引出し</t>
    <rPh sb="5" eb="7">
      <t>ヒキダセィ</t>
    </rPh>
    <phoneticPr fontId="1"/>
  </si>
  <si>
    <t>楽天ペイ</t>
    <rPh sb="0" eb="2">
      <t>ラクテn</t>
    </rPh>
    <phoneticPr fontId="1"/>
  </si>
  <si>
    <t>自動販売機</t>
    <rPh sb="0" eb="1">
      <t>ジドウヘ</t>
    </rPh>
    <phoneticPr fontId="1"/>
  </si>
  <si>
    <t>楽天カード</t>
    <phoneticPr fontId="1"/>
  </si>
  <si>
    <t>タバコ、ジュース</t>
    <phoneticPr fontId="1"/>
  </si>
  <si>
    <t>生活費</t>
    <rPh sb="0" eb="3">
      <t>セイカテゥ</t>
    </rPh>
    <phoneticPr fontId="1"/>
  </si>
  <si>
    <t>ちびや、風見鶏</t>
    <rPh sb="4" eb="7">
      <t>カザミ</t>
    </rPh>
    <phoneticPr fontId="1"/>
  </si>
  <si>
    <t>会社</t>
  </si>
  <si>
    <t>自動販売機</t>
  </si>
  <si>
    <t>宿泊費</t>
  </si>
  <si>
    <t>天王洲東横イン</t>
  </si>
  <si>
    <t>ライター</t>
  </si>
  <si>
    <t>楽天ペイ</t>
  </si>
  <si>
    <t>ローソン</t>
  </si>
  <si>
    <t>楽天ペイ入金</t>
  </si>
  <si>
    <t>0入金　1食費　2衣服生活雑貨　3自己啓発　4交通費　5嗜好品　6遊興　7医療費　9会社負担</t>
  </si>
  <si>
    <t>セブン</t>
  </si>
  <si>
    <t>天王洲居酒屋</t>
  </si>
  <si>
    <t>昼食</t>
  </si>
  <si>
    <t>天王洲弁当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</si>
</sst>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;@"/>
    <numFmt numFmtId="177" formatCode="#,##0_ "/>
  </numFmts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slantDashDot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177" fontId="0" fillId="0" borderId="0" xfId="0" applyNumberFormat="1">
      <alignment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176" fontId="0" fillId="0" borderId="3" xfId="0" applyNumberFormat="1" applyBorder="1">
      <alignment vertical="center"/>
    </xf>
    <xf numFmtId="177" fontId="0" fillId="0" borderId="2" xfId="0" applyNumberFormat="1" applyBorder="1">
      <alignment vertical="center"/>
    </xf>
    <xf numFmtId="177" fontId="0" fillId="0" borderId="6" xfId="0" applyNumberFormat="1" applyBorder="1">
      <alignment vertical="center"/>
    </xf>
    <xf numFmtId="177" fontId="0" fillId="0" borderId="7" xfId="0" applyNumberFormat="1" applyBorder="1">
      <alignment vertical="center"/>
    </xf>
    <xf numFmtId="0" fontId="0" fillId="0" borderId="7" xfId="0" applyBorder="1">
      <alignment vertical="center"/>
    </xf>
    <xf numFmtId="176" fontId="0" fillId="0" borderId="8" xfId="0" applyNumberFormat="1" applyBorder="1">
      <alignment vertical="center"/>
    </xf>
    <xf numFmtId="177" fontId="0" fillId="0" borderId="9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0" borderId="4" xfId="0" applyBorder="1">
      <alignment vertical="center"/>
    </xf>
    <xf numFmtId="176" fontId="0" fillId="0" borderId="5" xfId="0" applyNumberFormat="1" applyBorder="1">
      <alignment vertical="center"/>
    </xf>
    <xf numFmtId="0" fontId="0" fillId="0" borderId="11" xfId="0" applyBorder="1">
      <alignment vertical="center"/>
    </xf>
    <xf numFmtId="177" fontId="0" fillId="0" borderId="12" xfId="0" applyNumberFormat="1" applyBorder="1">
      <alignment vertical="center"/>
    </xf>
    <xf numFmtId="177" fontId="0" fillId="0" borderId="10" xfId="0" applyNumberFormat="1" applyBorder="1">
      <alignment vertical="center"/>
    </xf>
    <xf numFmtId="0" fontId="0" fillId="0" borderId="10" xfId="0" applyBorder="1">
      <alignment vertical="center"/>
    </xf>
    <xf numFmtId="0" fontId="0" fillId="0" borderId="5" xfId="0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77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7" fontId="0" fillId="0" borderId="13" xfId="0" applyNumberFormat="1" applyBorder="1">
      <alignment vertical="center"/>
    </xf>
    <xf numFmtId="176" fontId="0" fillId="0" borderId="14" xfId="0" applyNumberFormat="1" applyBorder="1">
      <alignment vertical="center"/>
    </xf>
    <xf numFmtId="177" fontId="0" fillId="0" borderId="15" xfId="0" applyNumberFormat="1" applyBorder="1">
      <alignment vertical="center"/>
    </xf>
    <xf numFmtId="177" fontId="0" fillId="0" borderId="16" xfId="0" applyNumberFormat="1" applyBorder="1">
      <alignment vertical="center"/>
    </xf>
    <xf numFmtId="0" fontId="0" fillId="0" borderId="16" xfId="0" applyBorder="1">
      <alignment vertical="center"/>
    </xf>
    <xf numFmtId="3" fontId="0" fillId="0" borderId="1" xfId="0" applyNumberFormat="1" applyBorder="1">
      <alignment vertical="center"/>
    </xf>
    <xf numFmtId="177" fontId="0" fillId="0" borderId="17" xfId="0" applyNumberFormat="1" applyBorder="1">
      <alignment vertical="center"/>
    </xf>
    <xf numFmtId="177" fontId="0" fillId="0" borderId="18" xfId="0" applyNumberFormat="1" applyBorder="1">
      <alignment vertical="center"/>
    </xf>
    <xf numFmtId="0" fontId="0" fillId="0" borderId="18" xfId="0" applyBorder="1">
      <alignment vertical="center"/>
    </xf>
    <xf numFmtId="176" fontId="0" fillId="0" borderId="19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15AF-D2B9-D64C-BD3C-A98F8EF77853}">
  <dimension ref="B1:P98"/>
  <sheetViews>
    <sheetView tabSelected="1" zoomScale="120" zoomScaleNormal="120" workbookViewId="0">
      <pane xSplit="2" ySplit="10" topLeftCell="C86" activePane="bottomRight" state="frozen"/>
      <selection pane="topRight" activeCell="C1" sqref="C1"/>
      <selection pane="bottomLeft" activeCell="A8" sqref="A8"/>
      <selection pane="bottomRight" activeCell="C6" sqref="C6"/>
    </sheetView>
  </sheetViews>
  <sheetFormatPr baseColWidth="10" defaultColWidth="10.7109375" defaultRowHeight="20"/>
  <cols>
    <col min="2" max="2" width="8.5703125" bestFit="1" customWidth="1"/>
    <col min="3" max="3" width="11.85546875" style="1" customWidth="1"/>
    <col min="4" max="4" width="10.7109375" style="1"/>
    <col min="5" max="5" width="9.42578125" style="1" bestFit="1" customWidth="1"/>
    <col min="7" max="7" width="16.140625" customWidth="1"/>
    <col min="9" max="9" width="17.85546875" customWidth="1"/>
    <col min="11" max="11" width="12" bestFit="1" customWidth="1"/>
    <col min="12" max="12" width="10" bestFit="1" customWidth="1"/>
    <col min="13" max="13" width="46.140625" customWidth="1"/>
    <col min="14" max="14" width="22.5703125" customWidth="1"/>
    <col min="16" max="16" width="21.28515625" customWidth="1"/>
  </cols>
  <sheetData>
    <row r="1" spans="2:16">
      <c r="K1" t="s">
        <v>10</v>
      </c>
      <c r="L1" s="1"/>
      <c r="O1" t="s">
        <v>98</v>
      </c>
    </row>
    <row r="2" spans="2:16">
      <c r="K2" t="s">
        <v>11</v>
      </c>
      <c r="L2" s="1">
        <v>422145</v>
      </c>
      <c r="M2" t="s">
        <v>17</v>
      </c>
      <c r="O2" t="s">
        <v>19</v>
      </c>
    </row>
    <row r="3" spans="2:16">
      <c r="K3" t="s">
        <v>12</v>
      </c>
      <c r="L3" s="1">
        <v>1423094</v>
      </c>
      <c r="M3" t="s">
        <v>16</v>
      </c>
      <c r="O3" t="s">
        <v>20</v>
      </c>
      <c r="P3" t="s">
        <v>6</v>
      </c>
    </row>
    <row r="4" spans="2:16">
      <c r="K4" t="s">
        <v>13</v>
      </c>
      <c r="L4" s="1">
        <v>228287</v>
      </c>
      <c r="M4" t="s">
        <v>58</v>
      </c>
      <c r="O4" t="s">
        <v>21</v>
      </c>
      <c r="P4" t="s">
        <v>97</v>
      </c>
    </row>
    <row r="5" spans="2:16">
      <c r="K5" t="s">
        <v>29</v>
      </c>
      <c r="L5" s="1"/>
    </row>
    <row r="6" spans="2:16">
      <c r="L6" s="1">
        <f>SUM(L2:L5)</f>
        <v>2073526</v>
      </c>
      <c r="O6" t="s">
        <v>22</v>
      </c>
      <c r="P6" t="s">
        <v>12</v>
      </c>
    </row>
    <row r="7" spans="2:16">
      <c r="O7" t="s">
        <v>95</v>
      </c>
      <c r="P7" t="s">
        <v>101</v>
      </c>
    </row>
    <row r="8" spans="2:16">
      <c r="O8" t="s">
        <v>99</v>
      </c>
      <c r="P8" t="s">
        <v>100</v>
      </c>
    </row>
    <row r="9" spans="2:16">
      <c r="E9" s="1" t="s">
        <v>161</v>
      </c>
    </row>
    <row r="10" spans="2:16" ht="21" thickBot="1">
      <c r="B10" s="18" t="s">
        <v>0</v>
      </c>
      <c r="C10" s="19" t="s">
        <v>1</v>
      </c>
      <c r="D10" s="20" t="s">
        <v>2</v>
      </c>
      <c r="E10" s="20" t="s">
        <v>127</v>
      </c>
      <c r="F10" s="21" t="s">
        <v>3</v>
      </c>
      <c r="G10" s="21" t="s">
        <v>4</v>
      </c>
      <c r="H10" s="21" t="s">
        <v>18</v>
      </c>
      <c r="I10" s="21" t="s">
        <v>45</v>
      </c>
    </row>
    <row r="11" spans="2:16" ht="21" thickBot="1">
      <c r="B11" s="9">
        <v>45536</v>
      </c>
      <c r="C11" s="10"/>
      <c r="D11" s="11">
        <v>400</v>
      </c>
      <c r="E11" s="11">
        <v>4</v>
      </c>
      <c r="F11" s="12" t="s">
        <v>8</v>
      </c>
      <c r="G11" s="12" t="s">
        <v>9</v>
      </c>
      <c r="H11" s="12"/>
      <c r="I11" s="12" t="s">
        <v>103</v>
      </c>
    </row>
    <row r="12" spans="2:16" ht="21" thickBot="1">
      <c r="B12" s="9">
        <v>45536</v>
      </c>
      <c r="C12" s="28"/>
      <c r="D12" s="29">
        <v>1050</v>
      </c>
      <c r="E12" s="29">
        <v>1</v>
      </c>
      <c r="F12" s="30" t="s">
        <v>104</v>
      </c>
      <c r="G12" s="30" t="s">
        <v>32</v>
      </c>
      <c r="H12" s="30"/>
      <c r="I12" s="30" t="s">
        <v>105</v>
      </c>
    </row>
    <row r="13" spans="2:16" ht="21" thickBot="1">
      <c r="B13" s="9">
        <v>45536</v>
      </c>
      <c r="C13" s="28"/>
      <c r="D13" s="29">
        <v>108</v>
      </c>
      <c r="E13" s="29">
        <v>1</v>
      </c>
      <c r="F13" s="30" t="s">
        <v>28</v>
      </c>
      <c r="G13" s="30" t="s">
        <v>32</v>
      </c>
      <c r="H13" s="30"/>
      <c r="I13" s="30" t="s">
        <v>106</v>
      </c>
    </row>
    <row r="14" spans="2:16">
      <c r="B14" s="9">
        <v>45536</v>
      </c>
      <c r="C14" s="28">
        <v>1000</v>
      </c>
      <c r="D14" s="29"/>
      <c r="E14" s="29">
        <v>6</v>
      </c>
      <c r="F14" s="30" t="s">
        <v>107</v>
      </c>
      <c r="G14" s="30" t="s">
        <v>30</v>
      </c>
      <c r="H14" s="30"/>
      <c r="I14" s="30"/>
    </row>
    <row r="15" spans="2:16">
      <c r="B15" s="4">
        <v>45537</v>
      </c>
      <c r="C15" s="28"/>
      <c r="D15" s="29"/>
      <c r="E15" s="29"/>
      <c r="F15" s="30" t="s">
        <v>93</v>
      </c>
      <c r="G15" s="30" t="s">
        <v>108</v>
      </c>
      <c r="H15" s="30"/>
      <c r="I15" s="30" t="s">
        <v>139</v>
      </c>
    </row>
    <row r="16" spans="2:16">
      <c r="B16" s="4">
        <v>45537</v>
      </c>
      <c r="C16" s="28"/>
      <c r="D16" s="29">
        <v>3900</v>
      </c>
      <c r="E16" s="29">
        <v>1</v>
      </c>
      <c r="F16" s="30" t="s">
        <v>82</v>
      </c>
      <c r="G16" s="30" t="s">
        <v>29</v>
      </c>
      <c r="H16" s="30"/>
      <c r="I16" s="30"/>
    </row>
    <row r="17" spans="2:9">
      <c r="B17" s="4">
        <v>45537</v>
      </c>
      <c r="C17" s="28">
        <v>3000</v>
      </c>
      <c r="D17" s="29"/>
      <c r="E17" s="29">
        <v>6</v>
      </c>
      <c r="F17" s="30" t="s">
        <v>111</v>
      </c>
      <c r="G17" s="30"/>
      <c r="H17" s="30"/>
      <c r="I17" s="30"/>
    </row>
    <row r="18" spans="2:9">
      <c r="B18" s="4">
        <v>45537</v>
      </c>
      <c r="C18" s="28"/>
      <c r="D18" s="29">
        <v>2050</v>
      </c>
      <c r="E18" s="29">
        <v>5</v>
      </c>
      <c r="F18" s="30" t="s">
        <v>84</v>
      </c>
      <c r="G18" s="30" t="s">
        <v>32</v>
      </c>
      <c r="H18" s="30"/>
      <c r="I18" s="30" t="s">
        <v>112</v>
      </c>
    </row>
    <row r="19" spans="2:9">
      <c r="B19" s="4">
        <v>45537</v>
      </c>
      <c r="C19" s="5"/>
      <c r="D19" s="3">
        <v>940</v>
      </c>
      <c r="E19" s="3">
        <v>1</v>
      </c>
      <c r="F19" s="2" t="s">
        <v>113</v>
      </c>
      <c r="G19" s="2"/>
      <c r="H19" s="2"/>
      <c r="I19" s="2" t="s">
        <v>88</v>
      </c>
    </row>
    <row r="20" spans="2:9">
      <c r="B20" s="4">
        <v>45538</v>
      </c>
      <c r="C20" s="5"/>
      <c r="D20" s="3"/>
      <c r="E20" s="3"/>
      <c r="F20" s="2" t="s">
        <v>93</v>
      </c>
      <c r="G20" s="2" t="s">
        <v>108</v>
      </c>
      <c r="H20" s="2"/>
      <c r="I20" s="2" t="s">
        <v>140</v>
      </c>
    </row>
    <row r="21" spans="2:9">
      <c r="B21" s="4">
        <v>45539</v>
      </c>
      <c r="C21" s="5"/>
      <c r="D21" s="3">
        <v>3660</v>
      </c>
      <c r="E21" s="3">
        <v>1</v>
      </c>
      <c r="F21" s="2" t="s">
        <v>82</v>
      </c>
      <c r="G21" s="2" t="s">
        <v>30</v>
      </c>
      <c r="H21" s="2"/>
      <c r="I21" s="2"/>
    </row>
    <row r="22" spans="2:9">
      <c r="B22" s="4">
        <v>45539</v>
      </c>
      <c r="C22" s="5"/>
      <c r="D22" s="3">
        <v>660</v>
      </c>
      <c r="E22" s="3">
        <v>2</v>
      </c>
      <c r="F22" s="2" t="s">
        <v>114</v>
      </c>
      <c r="G22" s="2" t="s">
        <v>29</v>
      </c>
      <c r="H22" s="2"/>
      <c r="I22" s="2" t="s">
        <v>115</v>
      </c>
    </row>
    <row r="23" spans="2:9">
      <c r="B23" s="4">
        <v>45539</v>
      </c>
      <c r="C23" s="5"/>
      <c r="D23" s="3">
        <v>1823</v>
      </c>
      <c r="E23" s="3">
        <v>1</v>
      </c>
      <c r="F23" s="3" t="s">
        <v>5</v>
      </c>
      <c r="G23" s="2" t="s">
        <v>6</v>
      </c>
      <c r="H23" s="2"/>
      <c r="I23" s="2"/>
    </row>
    <row r="24" spans="2:9">
      <c r="B24" s="4">
        <v>45540</v>
      </c>
      <c r="C24" s="5"/>
      <c r="D24" s="3">
        <v>1100</v>
      </c>
      <c r="E24" s="3">
        <v>2</v>
      </c>
      <c r="F24" s="2" t="s">
        <v>31</v>
      </c>
      <c r="G24" s="2" t="s">
        <v>6</v>
      </c>
      <c r="H24" s="2"/>
      <c r="I24" s="2" t="s">
        <v>116</v>
      </c>
    </row>
    <row r="25" spans="2:9">
      <c r="B25" s="4">
        <v>45540</v>
      </c>
      <c r="C25" s="5"/>
      <c r="D25" s="3">
        <v>2500</v>
      </c>
      <c r="E25" s="3">
        <v>5</v>
      </c>
      <c r="F25" s="2" t="s">
        <v>84</v>
      </c>
      <c r="G25" s="2" t="s">
        <v>32</v>
      </c>
      <c r="H25" s="2"/>
      <c r="I25" s="2" t="s">
        <v>83</v>
      </c>
    </row>
    <row r="26" spans="2:9">
      <c r="B26" s="4">
        <v>45541</v>
      </c>
      <c r="C26" s="5"/>
      <c r="D26" s="3"/>
      <c r="E26" s="3"/>
      <c r="F26" s="2" t="s">
        <v>93</v>
      </c>
      <c r="G26" s="2" t="s">
        <v>108</v>
      </c>
      <c r="H26" s="2"/>
      <c r="I26" s="2" t="s">
        <v>141</v>
      </c>
    </row>
    <row r="27" spans="2:9">
      <c r="B27" s="4">
        <v>45541</v>
      </c>
      <c r="C27" s="5"/>
      <c r="D27" s="3">
        <v>2449</v>
      </c>
      <c r="E27" s="3">
        <v>1</v>
      </c>
      <c r="F27" s="2" t="s">
        <v>5</v>
      </c>
      <c r="G27" s="2" t="s">
        <v>24</v>
      </c>
      <c r="H27" s="2"/>
      <c r="I27" s="2"/>
    </row>
    <row r="28" spans="2:9">
      <c r="B28" s="4">
        <v>45542</v>
      </c>
      <c r="C28" s="5"/>
      <c r="D28" s="3">
        <v>12000</v>
      </c>
      <c r="E28" s="3">
        <v>6</v>
      </c>
      <c r="F28" s="2" t="s">
        <v>120</v>
      </c>
      <c r="G28" s="2"/>
      <c r="H28" s="2"/>
      <c r="I28" s="2"/>
    </row>
    <row r="29" spans="2:9">
      <c r="B29" s="4">
        <v>45542</v>
      </c>
      <c r="C29" s="5"/>
      <c r="D29" s="3">
        <v>1500</v>
      </c>
      <c r="E29" s="3">
        <v>1</v>
      </c>
      <c r="F29" s="2" t="s">
        <v>88</v>
      </c>
      <c r="G29" s="2" t="s">
        <v>121</v>
      </c>
      <c r="H29" s="2"/>
      <c r="I29" s="2" t="s">
        <v>50</v>
      </c>
    </row>
    <row r="30" spans="2:9">
      <c r="B30" s="4">
        <v>45542</v>
      </c>
      <c r="C30" s="5"/>
      <c r="D30" s="3">
        <v>790</v>
      </c>
      <c r="E30" s="3">
        <v>4</v>
      </c>
      <c r="F30" s="2" t="s">
        <v>49</v>
      </c>
      <c r="G30" s="2" t="s">
        <v>9</v>
      </c>
      <c r="H30" s="2"/>
      <c r="I30" s="2" t="s">
        <v>122</v>
      </c>
    </row>
    <row r="31" spans="2:9">
      <c r="B31" s="4">
        <v>45542</v>
      </c>
      <c r="C31" s="5"/>
      <c r="D31" s="3">
        <v>120</v>
      </c>
      <c r="E31" s="3">
        <v>1</v>
      </c>
      <c r="F31" s="2" t="s">
        <v>126</v>
      </c>
      <c r="G31" s="2" t="s">
        <v>32</v>
      </c>
      <c r="H31" s="2"/>
      <c r="I31" s="2" t="s">
        <v>28</v>
      </c>
    </row>
    <row r="32" spans="2:9">
      <c r="B32" s="4">
        <v>45542</v>
      </c>
      <c r="C32" s="5"/>
      <c r="D32" s="3"/>
      <c r="E32" s="3"/>
      <c r="F32" s="2" t="s">
        <v>123</v>
      </c>
      <c r="G32" s="2" t="s">
        <v>124</v>
      </c>
      <c r="H32" s="2"/>
      <c r="I32" s="2" t="s">
        <v>138</v>
      </c>
    </row>
    <row r="33" spans="2:9">
      <c r="B33" s="4">
        <v>45542</v>
      </c>
      <c r="C33" s="5"/>
      <c r="D33" s="3"/>
      <c r="E33" s="3"/>
      <c r="F33" s="2" t="s">
        <v>125</v>
      </c>
      <c r="G33" s="2" t="s">
        <v>6</v>
      </c>
      <c r="H33" s="2"/>
      <c r="I33" s="2" t="s">
        <v>138</v>
      </c>
    </row>
    <row r="34" spans="2:9">
      <c r="B34" s="4">
        <v>45542</v>
      </c>
      <c r="C34" s="5"/>
      <c r="D34" s="3">
        <v>2690</v>
      </c>
      <c r="E34" s="3">
        <v>1</v>
      </c>
      <c r="F34" s="2" t="s">
        <v>82</v>
      </c>
      <c r="G34" s="2" t="s">
        <v>30</v>
      </c>
      <c r="H34" s="2"/>
      <c r="I34" s="2"/>
    </row>
    <row r="35" spans="2:9">
      <c r="B35" s="4">
        <v>45543</v>
      </c>
      <c r="C35" s="5"/>
      <c r="D35" s="3">
        <v>2608</v>
      </c>
      <c r="E35" s="3">
        <v>1</v>
      </c>
      <c r="F35" s="2" t="s">
        <v>5</v>
      </c>
      <c r="G35" s="2" t="s">
        <v>6</v>
      </c>
      <c r="H35" s="2"/>
      <c r="I35" s="2"/>
    </row>
    <row r="36" spans="2:9">
      <c r="B36" s="4">
        <v>45544</v>
      </c>
      <c r="C36" s="5"/>
      <c r="D36" s="3">
        <v>750</v>
      </c>
      <c r="E36" s="3">
        <v>1</v>
      </c>
      <c r="F36" s="2" t="s">
        <v>128</v>
      </c>
      <c r="G36" s="2" t="s">
        <v>32</v>
      </c>
      <c r="H36" s="2"/>
      <c r="I36" s="2" t="s">
        <v>129</v>
      </c>
    </row>
    <row r="37" spans="2:9">
      <c r="B37" s="4">
        <v>45544</v>
      </c>
      <c r="C37" s="5"/>
      <c r="D37" s="3">
        <v>4290</v>
      </c>
      <c r="E37" s="3">
        <v>3</v>
      </c>
      <c r="F37" s="2" t="s">
        <v>130</v>
      </c>
      <c r="G37" s="2" t="s">
        <v>6</v>
      </c>
      <c r="H37" s="2"/>
      <c r="I37" s="2" t="s">
        <v>131</v>
      </c>
    </row>
    <row r="38" spans="2:9">
      <c r="B38" s="4">
        <v>45544</v>
      </c>
      <c r="C38" s="5"/>
      <c r="D38" s="3">
        <v>100</v>
      </c>
      <c r="E38" s="3">
        <v>1</v>
      </c>
      <c r="F38" s="2" t="s">
        <v>85</v>
      </c>
      <c r="G38" s="2" t="s">
        <v>32</v>
      </c>
      <c r="H38" s="2"/>
      <c r="I38" s="2" t="s">
        <v>131</v>
      </c>
    </row>
    <row r="39" spans="2:9">
      <c r="B39" s="4">
        <v>45544</v>
      </c>
      <c r="C39" s="5"/>
      <c r="D39" s="3">
        <v>2800</v>
      </c>
      <c r="E39" s="3">
        <v>1</v>
      </c>
      <c r="F39" s="2" t="s">
        <v>82</v>
      </c>
      <c r="G39" s="2" t="s">
        <v>30</v>
      </c>
      <c r="H39" s="2"/>
      <c r="I39" s="2"/>
    </row>
    <row r="40" spans="2:9">
      <c r="B40" s="4">
        <v>45545</v>
      </c>
      <c r="C40" s="5"/>
      <c r="D40" s="3">
        <v>5522</v>
      </c>
      <c r="E40" s="3">
        <v>2</v>
      </c>
      <c r="F40" s="2" t="s">
        <v>132</v>
      </c>
      <c r="G40" s="2" t="s">
        <v>6</v>
      </c>
      <c r="H40" s="2"/>
      <c r="I40" s="2" t="s">
        <v>133</v>
      </c>
    </row>
    <row r="41" spans="2:9">
      <c r="B41" s="4">
        <v>45545</v>
      </c>
      <c r="C41" s="5"/>
      <c r="D41" s="3">
        <v>9680</v>
      </c>
      <c r="E41" s="3">
        <v>2</v>
      </c>
      <c r="F41" s="2" t="s">
        <v>134</v>
      </c>
      <c r="G41" s="2" t="s">
        <v>6</v>
      </c>
      <c r="H41" s="2"/>
      <c r="I41" s="2" t="s">
        <v>135</v>
      </c>
    </row>
    <row r="42" spans="2:9">
      <c r="B42" s="4">
        <v>45545</v>
      </c>
      <c r="C42" s="5"/>
      <c r="D42" s="3">
        <v>3840</v>
      </c>
      <c r="E42" s="3">
        <v>1</v>
      </c>
      <c r="F42" s="2" t="s">
        <v>136</v>
      </c>
      <c r="G42" s="2" t="s">
        <v>6</v>
      </c>
      <c r="H42" s="2"/>
      <c r="I42" s="2"/>
    </row>
    <row r="43" spans="2:9">
      <c r="B43" s="4">
        <v>45545</v>
      </c>
      <c r="C43" s="5"/>
      <c r="D43" s="3">
        <v>500</v>
      </c>
      <c r="E43" s="3">
        <v>4</v>
      </c>
      <c r="F43" s="2" t="s">
        <v>8</v>
      </c>
      <c r="G43" s="2" t="s">
        <v>9</v>
      </c>
      <c r="H43" s="2"/>
      <c r="I43" s="2" t="s">
        <v>137</v>
      </c>
    </row>
    <row r="44" spans="2:9">
      <c r="B44" s="4">
        <v>45545</v>
      </c>
      <c r="C44" s="5">
        <v>25002</v>
      </c>
      <c r="D44" s="3"/>
      <c r="E44" s="3"/>
      <c r="F44" s="2" t="s">
        <v>142</v>
      </c>
      <c r="G44" s="2"/>
      <c r="H44" s="2"/>
      <c r="I44" s="2" t="s">
        <v>143</v>
      </c>
    </row>
    <row r="45" spans="2:9">
      <c r="B45" s="4">
        <v>45545</v>
      </c>
      <c r="C45" s="5"/>
      <c r="D45" s="3">
        <v>3580</v>
      </c>
      <c r="E45" s="3">
        <v>7</v>
      </c>
      <c r="F45" s="2" t="s">
        <v>144</v>
      </c>
      <c r="G45" s="2" t="s">
        <v>30</v>
      </c>
      <c r="H45" s="2"/>
      <c r="I45" s="2"/>
    </row>
    <row r="46" spans="2:9">
      <c r="B46" s="4">
        <v>45545</v>
      </c>
      <c r="C46" s="5"/>
      <c r="D46" s="3">
        <v>1734</v>
      </c>
      <c r="E46" s="3">
        <v>1</v>
      </c>
      <c r="F46" s="2" t="s">
        <v>5</v>
      </c>
      <c r="G46" s="2" t="s">
        <v>6</v>
      </c>
      <c r="H46" s="2"/>
      <c r="I46" s="2"/>
    </row>
    <row r="47" spans="2:9">
      <c r="B47" s="4">
        <v>45546</v>
      </c>
      <c r="C47" s="5"/>
      <c r="D47" s="3">
        <v>16000</v>
      </c>
      <c r="E47" s="3">
        <v>6</v>
      </c>
      <c r="F47" s="2" t="s">
        <v>120</v>
      </c>
      <c r="G47" s="2" t="s">
        <v>30</v>
      </c>
      <c r="H47" s="2"/>
      <c r="I47" s="2"/>
    </row>
    <row r="48" spans="2:9">
      <c r="B48" s="4">
        <v>45546</v>
      </c>
      <c r="C48" s="5"/>
      <c r="D48" s="3"/>
      <c r="E48" s="3"/>
      <c r="F48" s="2" t="s">
        <v>145</v>
      </c>
      <c r="G48" s="2" t="s">
        <v>30</v>
      </c>
      <c r="H48" s="2"/>
      <c r="I48" s="2" t="s">
        <v>146</v>
      </c>
    </row>
    <row r="49" spans="2:9">
      <c r="B49" s="4">
        <v>45546</v>
      </c>
      <c r="C49" s="5"/>
      <c r="D49" s="3">
        <v>2090</v>
      </c>
      <c r="E49" s="3">
        <v>1</v>
      </c>
      <c r="F49" s="2" t="s">
        <v>82</v>
      </c>
      <c r="G49" s="2" t="s">
        <v>30</v>
      </c>
      <c r="H49" s="2"/>
      <c r="I49" s="2"/>
    </row>
    <row r="50" spans="2:9">
      <c r="B50" s="4">
        <v>45546</v>
      </c>
      <c r="C50" s="5"/>
      <c r="D50" s="3">
        <v>500</v>
      </c>
      <c r="E50" s="3">
        <v>5</v>
      </c>
      <c r="F50" s="2" t="s">
        <v>84</v>
      </c>
      <c r="G50" s="2" t="s">
        <v>147</v>
      </c>
      <c r="H50" s="2"/>
      <c r="I50" s="2"/>
    </row>
    <row r="51" spans="2:9">
      <c r="B51" s="4">
        <v>45546</v>
      </c>
      <c r="C51" s="5"/>
      <c r="D51" s="3">
        <v>120</v>
      </c>
      <c r="E51" s="3">
        <v>1</v>
      </c>
      <c r="F51" s="2" t="s">
        <v>148</v>
      </c>
      <c r="G51" s="2" t="s">
        <v>30</v>
      </c>
      <c r="H51" s="2"/>
      <c r="I51" s="2"/>
    </row>
    <row r="52" spans="2:9">
      <c r="B52" s="4">
        <v>45547</v>
      </c>
      <c r="C52" s="5"/>
      <c r="D52" s="3">
        <v>500</v>
      </c>
      <c r="E52" s="3">
        <v>5</v>
      </c>
      <c r="F52" s="2" t="s">
        <v>126</v>
      </c>
      <c r="G52" s="2" t="s">
        <v>147</v>
      </c>
      <c r="H52" s="2"/>
      <c r="I52" s="2" t="s">
        <v>83</v>
      </c>
    </row>
    <row r="53" spans="2:9">
      <c r="B53" s="4">
        <v>45547</v>
      </c>
      <c r="C53" s="5"/>
      <c r="D53" s="3">
        <v>2640</v>
      </c>
      <c r="E53" s="3">
        <v>1</v>
      </c>
      <c r="F53" s="2" t="s">
        <v>82</v>
      </c>
      <c r="G53" s="2" t="s">
        <v>30</v>
      </c>
      <c r="H53" s="2"/>
      <c r="I53" s="2"/>
    </row>
    <row r="54" spans="2:9">
      <c r="B54" s="4">
        <v>45547</v>
      </c>
      <c r="C54" s="5"/>
      <c r="D54" s="3">
        <v>2840</v>
      </c>
      <c r="E54" s="3">
        <v>1</v>
      </c>
      <c r="F54" s="2" t="s">
        <v>82</v>
      </c>
      <c r="G54" s="2" t="s">
        <v>30</v>
      </c>
      <c r="H54" s="2"/>
      <c r="I54" s="2"/>
    </row>
    <row r="55" spans="2:9">
      <c r="B55" s="4">
        <v>45547</v>
      </c>
      <c r="C55" s="5"/>
      <c r="D55" s="3">
        <v>1977</v>
      </c>
      <c r="E55" s="3">
        <v>1</v>
      </c>
      <c r="F55" s="2" t="s">
        <v>5</v>
      </c>
      <c r="G55" s="2" t="s">
        <v>149</v>
      </c>
      <c r="H55" s="2"/>
      <c r="I55" s="2"/>
    </row>
    <row r="56" spans="2:9">
      <c r="B56" s="4">
        <v>45547</v>
      </c>
      <c r="C56" s="5"/>
      <c r="D56" s="3">
        <v>1120</v>
      </c>
      <c r="E56" s="3">
        <v>5</v>
      </c>
      <c r="F56" s="2" t="s">
        <v>126</v>
      </c>
      <c r="G56" s="2" t="s">
        <v>32</v>
      </c>
      <c r="H56" s="2"/>
      <c r="I56" s="2" t="s">
        <v>150</v>
      </c>
    </row>
    <row r="57" spans="2:9">
      <c r="B57" s="4">
        <v>45547</v>
      </c>
      <c r="C57" s="5">
        <v>2800</v>
      </c>
      <c r="D57" s="3"/>
      <c r="E57" s="3">
        <v>6</v>
      </c>
      <c r="F57" s="2" t="s">
        <v>120</v>
      </c>
      <c r="G57" s="2"/>
      <c r="H57" s="2"/>
      <c r="I57" s="2"/>
    </row>
    <row r="58" spans="2:9">
      <c r="B58" s="4">
        <v>45549</v>
      </c>
      <c r="C58" s="5"/>
      <c r="D58" s="3">
        <v>3000</v>
      </c>
      <c r="E58" s="3">
        <v>6</v>
      </c>
      <c r="F58" s="2" t="s">
        <v>120</v>
      </c>
      <c r="G58" s="2"/>
      <c r="H58" s="2"/>
      <c r="I58" s="2"/>
    </row>
    <row r="59" spans="2:9">
      <c r="B59" s="4">
        <v>45549</v>
      </c>
      <c r="C59" s="5"/>
      <c r="D59" s="3">
        <v>1313</v>
      </c>
      <c r="E59" s="3">
        <v>1</v>
      </c>
      <c r="F59" s="2" t="s">
        <v>5</v>
      </c>
      <c r="G59" s="2"/>
      <c r="H59" s="2"/>
      <c r="I59" s="2"/>
    </row>
    <row r="60" spans="2:9">
      <c r="B60" s="4">
        <v>45549</v>
      </c>
      <c r="C60" s="5"/>
      <c r="D60" s="3">
        <v>118</v>
      </c>
      <c r="E60" s="3">
        <v>1</v>
      </c>
      <c r="F60" s="2" t="s">
        <v>84</v>
      </c>
      <c r="G60" s="2" t="s">
        <v>147</v>
      </c>
      <c r="H60" s="2"/>
      <c r="I60" s="2" t="s">
        <v>28</v>
      </c>
    </row>
    <row r="61" spans="2:9">
      <c r="B61" s="4">
        <v>45550</v>
      </c>
      <c r="C61" s="5"/>
      <c r="D61" s="3">
        <v>7200</v>
      </c>
      <c r="E61" s="3">
        <v>6</v>
      </c>
      <c r="F61" s="2" t="s">
        <v>120</v>
      </c>
      <c r="G61" s="2" t="s">
        <v>30</v>
      </c>
      <c r="H61" s="2"/>
      <c r="I61" s="2"/>
    </row>
    <row r="62" spans="2:9">
      <c r="B62" s="4">
        <v>45550</v>
      </c>
      <c r="C62" s="5"/>
      <c r="D62" s="3">
        <v>1000</v>
      </c>
      <c r="E62" s="3">
        <v>5</v>
      </c>
      <c r="F62" s="2" t="s">
        <v>84</v>
      </c>
      <c r="G62" s="2" t="s">
        <v>147</v>
      </c>
      <c r="H62" s="2"/>
      <c r="I62" s="2" t="s">
        <v>83</v>
      </c>
    </row>
    <row r="63" spans="2:9">
      <c r="B63" s="4">
        <v>45550</v>
      </c>
      <c r="C63" s="5"/>
      <c r="D63" s="3">
        <v>80</v>
      </c>
      <c r="E63" s="3">
        <v>1</v>
      </c>
      <c r="F63" s="2" t="s">
        <v>85</v>
      </c>
      <c r="G63" s="2" t="s">
        <v>30</v>
      </c>
      <c r="H63" s="2"/>
      <c r="I63" s="2" t="s">
        <v>28</v>
      </c>
    </row>
    <row r="64" spans="2:9">
      <c r="B64" s="4">
        <v>45550</v>
      </c>
      <c r="C64" s="5"/>
      <c r="D64" s="3">
        <v>4760</v>
      </c>
      <c r="E64" s="3">
        <v>1</v>
      </c>
      <c r="F64" s="2" t="s">
        <v>152</v>
      </c>
      <c r="G64" s="2" t="s">
        <v>30</v>
      </c>
      <c r="H64" s="2"/>
      <c r="I64" s="2"/>
    </row>
    <row r="65" spans="2:9">
      <c r="B65" s="4">
        <v>45551</v>
      </c>
      <c r="C65" s="5"/>
      <c r="D65" s="3">
        <v>3380</v>
      </c>
      <c r="E65" s="3">
        <v>1</v>
      </c>
      <c r="F65" s="2" t="s">
        <v>82</v>
      </c>
      <c r="G65" s="2" t="s">
        <v>30</v>
      </c>
      <c r="H65" s="2"/>
      <c r="I65" s="2"/>
    </row>
    <row r="66" spans="2:9">
      <c r="B66" s="4">
        <v>45551</v>
      </c>
      <c r="C66" s="5"/>
      <c r="D66" s="3">
        <v>1000</v>
      </c>
      <c r="E66" s="3">
        <v>5</v>
      </c>
      <c r="F66" s="2" t="s">
        <v>84</v>
      </c>
      <c r="G66" s="2" t="s">
        <v>147</v>
      </c>
      <c r="H66" s="2"/>
      <c r="I66" s="2" t="s">
        <v>83</v>
      </c>
    </row>
    <row r="67" spans="2:9">
      <c r="B67" s="4">
        <v>45552</v>
      </c>
      <c r="C67" s="5"/>
      <c r="D67" s="3">
        <v>250</v>
      </c>
      <c r="E67" s="3">
        <v>9</v>
      </c>
      <c r="F67" s="2" t="s">
        <v>66</v>
      </c>
      <c r="G67" s="2" t="s">
        <v>81</v>
      </c>
      <c r="H67" s="2"/>
      <c r="I67" s="2" t="s">
        <v>153</v>
      </c>
    </row>
    <row r="68" spans="2:9">
      <c r="B68" s="4">
        <v>45552</v>
      </c>
      <c r="C68" s="5"/>
      <c r="D68" s="3">
        <v>10680</v>
      </c>
      <c r="E68" s="3">
        <v>9</v>
      </c>
      <c r="F68" s="2" t="s">
        <v>66</v>
      </c>
      <c r="G68" s="2" t="s">
        <v>67</v>
      </c>
      <c r="H68" s="2"/>
      <c r="I68" s="2" t="s">
        <v>153</v>
      </c>
    </row>
    <row r="69" spans="2:9">
      <c r="B69" s="4">
        <v>45552</v>
      </c>
      <c r="C69" s="5"/>
      <c r="D69" s="3">
        <v>150</v>
      </c>
      <c r="E69" s="3">
        <v>1</v>
      </c>
      <c r="F69" s="2" t="s">
        <v>154</v>
      </c>
      <c r="G69" s="2" t="s">
        <v>81</v>
      </c>
      <c r="H69" s="2"/>
      <c r="I69" s="2"/>
    </row>
    <row r="70" spans="2:9">
      <c r="B70" s="4">
        <v>45552</v>
      </c>
      <c r="C70" s="5"/>
      <c r="D70" s="3">
        <v>9450</v>
      </c>
      <c r="E70" s="3">
        <v>9</v>
      </c>
      <c r="F70" s="2" t="s">
        <v>155</v>
      </c>
      <c r="G70" s="2" t="s">
        <v>70</v>
      </c>
      <c r="H70" s="2"/>
      <c r="I70" s="2" t="s">
        <v>156</v>
      </c>
    </row>
    <row r="71" spans="2:9">
      <c r="B71" s="4">
        <v>45552</v>
      </c>
      <c r="C71" s="5"/>
      <c r="D71" s="3">
        <v>165</v>
      </c>
      <c r="E71" s="3">
        <v>2</v>
      </c>
      <c r="F71" s="2" t="s">
        <v>159</v>
      </c>
      <c r="G71" s="2" t="s">
        <v>158</v>
      </c>
      <c r="H71" s="2"/>
      <c r="I71" s="2" t="s">
        <v>157</v>
      </c>
    </row>
    <row r="72" spans="2:9">
      <c r="B72" s="4">
        <v>45552</v>
      </c>
      <c r="C72" s="5"/>
      <c r="D72" s="3">
        <v>10000</v>
      </c>
      <c r="E72" s="3">
        <v>0</v>
      </c>
      <c r="F72" s="2" t="s">
        <v>160</v>
      </c>
      <c r="G72" s="2" t="s">
        <v>70</v>
      </c>
      <c r="H72" s="2"/>
      <c r="I72" s="2"/>
    </row>
    <row r="73" spans="2:9">
      <c r="B73" s="4">
        <v>45552</v>
      </c>
      <c r="C73" s="5"/>
      <c r="D73" s="3">
        <v>641</v>
      </c>
      <c r="E73" s="3">
        <v>1</v>
      </c>
      <c r="F73" s="2" t="s">
        <v>162</v>
      </c>
      <c r="G73" s="2" t="s">
        <v>158</v>
      </c>
      <c r="H73" s="2"/>
      <c r="I73" s="2"/>
    </row>
    <row r="74" spans="2:9">
      <c r="B74" s="4">
        <v>45552</v>
      </c>
      <c r="C74" s="5"/>
      <c r="D74" s="3">
        <v>2816</v>
      </c>
      <c r="E74" s="3">
        <v>1</v>
      </c>
      <c r="F74" s="2" t="s">
        <v>163</v>
      </c>
      <c r="G74" s="2" t="s">
        <v>70</v>
      </c>
      <c r="H74" s="2"/>
      <c r="I74" s="2"/>
    </row>
    <row r="75" spans="2:9">
      <c r="B75" s="4">
        <v>45553</v>
      </c>
      <c r="C75" s="5"/>
      <c r="D75" s="3">
        <v>550</v>
      </c>
      <c r="E75" s="3">
        <v>1</v>
      </c>
      <c r="F75" s="2" t="s">
        <v>164</v>
      </c>
      <c r="G75" s="2"/>
      <c r="H75" s="2"/>
      <c r="I75" s="2" t="s">
        <v>165</v>
      </c>
    </row>
    <row r="76" spans="2:9">
      <c r="B76" s="4">
        <v>45553</v>
      </c>
      <c r="C76" s="5"/>
      <c r="D76" s="3">
        <v>90</v>
      </c>
      <c r="E76" s="3">
        <v>1</v>
      </c>
      <c r="F76" s="2" t="s">
        <v>154</v>
      </c>
      <c r="G76" s="2"/>
      <c r="H76" s="2"/>
      <c r="I76" s="2" t="s">
        <v>75</v>
      </c>
    </row>
    <row r="77" spans="2:9">
      <c r="B77" s="4">
        <v>45553</v>
      </c>
      <c r="C77" s="5"/>
      <c r="D77" s="3"/>
      <c r="E77" s="3"/>
      <c r="F77" s="2"/>
      <c r="G77" s="2"/>
      <c r="H77" s="2"/>
      <c r="I77" s="2"/>
    </row>
    <row r="78" spans="2:9">
      <c r="B78" s="4">
        <v>45553</v>
      </c>
      <c r="C78" s="5"/>
      <c r="D78" s="3"/>
      <c r="E78" s="3"/>
      <c r="F78" s="2"/>
      <c r="G78" s="2"/>
      <c r="H78" s="2"/>
      <c r="I78" s="2"/>
    </row>
    <row r="79" spans="2:9">
      <c r="B79" s="4">
        <v>45553</v>
      </c>
      <c r="C79" s="5"/>
      <c r="D79" s="3"/>
      <c r="E79" s="3"/>
      <c r="F79" s="2"/>
      <c r="G79" s="2"/>
      <c r="H79" s="2"/>
      <c r="I79" s="2"/>
    </row>
    <row r="80" spans="2:9">
      <c r="B80" s="4">
        <v>45554</v>
      </c>
      <c r="C80" s="5"/>
      <c r="D80" s="3"/>
      <c r="E80" s="3"/>
      <c r="F80" s="2"/>
      <c r="G80" s="2"/>
      <c r="H80" s="2"/>
      <c r="I80" s="2"/>
    </row>
    <row r="81" spans="2:9">
      <c r="B81" s="4">
        <v>45555</v>
      </c>
      <c r="C81" s="5"/>
      <c r="D81" s="3"/>
      <c r="E81" s="3"/>
      <c r="F81" s="2"/>
      <c r="G81" s="2"/>
      <c r="H81" s="2"/>
      <c r="I81" s="2" t="s">
        <v>109</v>
      </c>
    </row>
    <row r="82" spans="2:9">
      <c r="B82" s="4">
        <v>45556</v>
      </c>
      <c r="C82" s="5"/>
      <c r="D82" s="3"/>
      <c r="E82" s="3"/>
      <c r="F82" s="2"/>
      <c r="G82" s="2"/>
      <c r="H82" s="2"/>
      <c r="I82" s="2"/>
    </row>
    <row r="83" spans="2:9">
      <c r="B83" s="4">
        <v>45557</v>
      </c>
      <c r="C83" s="5"/>
      <c r="D83" s="3"/>
      <c r="E83" s="3"/>
      <c r="F83" s="2"/>
      <c r="G83" s="2"/>
      <c r="H83" s="2"/>
      <c r="I83" s="2"/>
    </row>
    <row r="84" spans="2:9">
      <c r="B84" s="4">
        <v>45558</v>
      </c>
      <c r="C84" s="5"/>
      <c r="D84" s="3"/>
      <c r="E84" s="3"/>
      <c r="F84" s="2"/>
      <c r="G84" s="2"/>
      <c r="H84" s="2"/>
      <c r="I84" s="2"/>
    </row>
    <row r="85" spans="2:9">
      <c r="B85" s="4">
        <v>45559</v>
      </c>
      <c r="C85" s="5"/>
      <c r="D85" s="3"/>
      <c r="E85" s="3"/>
      <c r="F85" s="2"/>
      <c r="G85" s="2"/>
      <c r="H85" s="2"/>
      <c r="I85" s="2"/>
    </row>
    <row r="86" spans="2:9">
      <c r="B86" s="4">
        <v>45560</v>
      </c>
      <c r="C86" s="5"/>
      <c r="D86" s="3"/>
      <c r="E86" s="3"/>
      <c r="F86" s="2"/>
      <c r="G86" s="2"/>
      <c r="H86" s="2"/>
      <c r="I86" s="2"/>
    </row>
    <row r="87" spans="2:9">
      <c r="B87" s="4">
        <v>45561</v>
      </c>
      <c r="C87" s="5"/>
      <c r="D87" s="3"/>
      <c r="E87" s="3"/>
      <c r="F87" s="2"/>
      <c r="G87" s="2"/>
      <c r="H87" s="2"/>
      <c r="I87" s="2"/>
    </row>
    <row r="88" spans="2:9">
      <c r="B88" s="4">
        <v>45562</v>
      </c>
      <c r="C88" s="5"/>
      <c r="D88" s="3"/>
      <c r="E88" s="3"/>
      <c r="F88" s="2"/>
      <c r="G88" s="2"/>
      <c r="H88" s="2"/>
      <c r="I88" s="2"/>
    </row>
    <row r="89" spans="2:9">
      <c r="B89" s="4">
        <v>45563</v>
      </c>
      <c r="C89" s="5"/>
      <c r="D89" s="3"/>
      <c r="E89" s="3"/>
      <c r="F89" s="2"/>
      <c r="G89" s="2"/>
      <c r="H89" s="2"/>
      <c r="I89" s="2"/>
    </row>
    <row r="90" spans="2:9">
      <c r="B90" s="4">
        <v>45564</v>
      </c>
      <c r="C90" s="22"/>
      <c r="D90" s="3"/>
      <c r="E90" s="3"/>
      <c r="F90" s="2"/>
      <c r="G90" s="2"/>
      <c r="H90" s="2"/>
      <c r="I90" s="2"/>
    </row>
    <row r="91" spans="2:9">
      <c r="B91" s="4">
        <v>45565</v>
      </c>
      <c r="C91" s="22"/>
      <c r="D91" s="3"/>
      <c r="E91" s="3"/>
      <c r="F91" s="2"/>
      <c r="G91" s="2"/>
      <c r="H91" s="2"/>
      <c r="I91" s="2" t="s">
        <v>110</v>
      </c>
    </row>
    <row r="92" spans="2:9" ht="21" thickBot="1">
      <c r="B92" s="31"/>
      <c r="C92" s="5"/>
      <c r="D92" s="3"/>
      <c r="E92" s="3"/>
      <c r="F92" s="2"/>
      <c r="G92" s="2"/>
      <c r="H92" s="2"/>
      <c r="I92" s="2"/>
    </row>
    <row r="93" spans="2:9" ht="21" thickTop="1">
      <c r="B93" s="14" t="s">
        <v>46</v>
      </c>
      <c r="C93" s="15">
        <f>SUM(C11:C92)</f>
        <v>31802</v>
      </c>
      <c r="D93" s="16">
        <f>SUM(D11:D92)</f>
        <v>157574</v>
      </c>
      <c r="E93" s="16"/>
      <c r="F93" s="17"/>
      <c r="G93" s="17"/>
      <c r="H93" s="17"/>
      <c r="I93" s="17"/>
    </row>
    <row r="95" spans="2:9">
      <c r="E95" s="1">
        <v>1</v>
      </c>
      <c r="F95">
        <f>SUMIF(E11:E92,1,D11:D92)</f>
        <v>53637</v>
      </c>
    </row>
    <row r="96" spans="2:9">
      <c r="E96" s="1">
        <v>5</v>
      </c>
      <c r="F96">
        <f>SUMIF(E11:E92,5,D11:D92)</f>
        <v>8670</v>
      </c>
    </row>
    <row r="97" spans="5:6">
      <c r="E97" s="1">
        <v>6</v>
      </c>
      <c r="F97">
        <f>SUMIF(E11:E92,6,D11:D92)</f>
        <v>38200</v>
      </c>
    </row>
    <row r="98" spans="5:6">
      <c r="E98" s="1" t="s">
        <v>151</v>
      </c>
      <c r="F98">
        <f>SUM(F95:F97)</f>
        <v>100507</v>
      </c>
    </row>
  </sheetData>
  <autoFilter ref="B10:P91" xr:uid="{E15515AF-D2B9-D64C-BD3C-A98F8EF77853}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7FE02-E958-6146-BBAD-CCC402168E61}">
  <dimension ref="B1:O80"/>
  <sheetViews>
    <sheetView zoomScale="120" zoomScaleNormal="120" workbookViewId="0">
      <pane xSplit="2" ySplit="9" topLeftCell="C40" activePane="bottomRight" state="frozen"/>
      <selection pane="topRight" activeCell="C1" sqref="C1"/>
      <selection pane="bottomLeft" activeCell="A8" sqref="A8"/>
      <selection pane="bottomRight" activeCell="A9" sqref="A9:XFD9"/>
    </sheetView>
  </sheetViews>
  <sheetFormatPr baseColWidth="10" defaultColWidth="10.7109375" defaultRowHeight="20"/>
  <cols>
    <col min="2" max="2" width="8.5703125" bestFit="1" customWidth="1"/>
    <col min="3" max="3" width="11.85546875" style="1" customWidth="1"/>
    <col min="4" max="4" width="10.7109375" style="1"/>
    <col min="6" max="6" width="16.140625" customWidth="1"/>
    <col min="8" max="8" width="17.85546875" customWidth="1"/>
    <col min="10" max="10" width="12" bestFit="1" customWidth="1"/>
    <col min="11" max="11" width="10" bestFit="1" customWidth="1"/>
    <col min="12" max="12" width="46.140625" customWidth="1"/>
    <col min="13" max="13" width="22.5703125" customWidth="1"/>
    <col min="15" max="15" width="21.28515625" customWidth="1"/>
  </cols>
  <sheetData>
    <row r="1" spans="2:15">
      <c r="J1" t="s">
        <v>10</v>
      </c>
      <c r="K1" s="1"/>
      <c r="N1" t="s">
        <v>98</v>
      </c>
    </row>
    <row r="2" spans="2:15">
      <c r="J2" t="s">
        <v>11</v>
      </c>
      <c r="K2" s="1">
        <v>631032</v>
      </c>
      <c r="L2" t="s">
        <v>17</v>
      </c>
      <c r="N2" t="s">
        <v>19</v>
      </c>
    </row>
    <row r="3" spans="2:15">
      <c r="J3" t="s">
        <v>12</v>
      </c>
      <c r="K3" s="1">
        <v>1473424</v>
      </c>
      <c r="L3" t="s">
        <v>16</v>
      </c>
      <c r="N3" t="s">
        <v>20</v>
      </c>
      <c r="O3" t="s">
        <v>6</v>
      </c>
    </row>
    <row r="4" spans="2:15">
      <c r="J4" t="s">
        <v>13</v>
      </c>
      <c r="K4" s="1">
        <v>228287</v>
      </c>
      <c r="L4" t="s">
        <v>58</v>
      </c>
      <c r="N4" t="s">
        <v>21</v>
      </c>
      <c r="O4" t="s">
        <v>97</v>
      </c>
    </row>
    <row r="5" spans="2:15">
      <c r="K5" s="1">
        <f>SUM(K2:K4)</f>
        <v>2332743</v>
      </c>
      <c r="N5" t="s">
        <v>22</v>
      </c>
      <c r="O5" t="s">
        <v>12</v>
      </c>
    </row>
    <row r="6" spans="2:15">
      <c r="N6" t="s">
        <v>95</v>
      </c>
      <c r="O6" t="s">
        <v>101</v>
      </c>
    </row>
    <row r="7" spans="2:15">
      <c r="N7" t="s">
        <v>99</v>
      </c>
      <c r="O7" t="s">
        <v>100</v>
      </c>
    </row>
    <row r="9" spans="2:15" ht="21" thickBot="1">
      <c r="B9" s="18" t="s">
        <v>0</v>
      </c>
      <c r="C9" s="19" t="s">
        <v>1</v>
      </c>
      <c r="D9" s="20" t="s">
        <v>2</v>
      </c>
      <c r="E9" s="21" t="s">
        <v>3</v>
      </c>
      <c r="F9" s="21" t="s">
        <v>4</v>
      </c>
      <c r="G9" s="21" t="s">
        <v>18</v>
      </c>
      <c r="H9" s="21" t="s">
        <v>45</v>
      </c>
    </row>
    <row r="10" spans="2:15">
      <c r="B10" s="9">
        <v>45505</v>
      </c>
      <c r="C10" s="10"/>
      <c r="D10" s="11"/>
      <c r="E10" s="12"/>
      <c r="F10" s="12"/>
      <c r="G10" s="12"/>
      <c r="H10" s="12"/>
    </row>
    <row r="11" spans="2:15">
      <c r="B11" s="4">
        <v>45506</v>
      </c>
      <c r="C11" s="5"/>
      <c r="D11" s="3"/>
      <c r="E11" s="2"/>
      <c r="F11" s="2"/>
      <c r="G11" s="2"/>
      <c r="H11" s="2"/>
    </row>
    <row r="12" spans="2:15">
      <c r="B12" s="4">
        <v>45507</v>
      </c>
      <c r="C12" s="5"/>
      <c r="D12" s="3"/>
      <c r="E12" s="2"/>
      <c r="F12" s="2"/>
      <c r="G12" s="2"/>
      <c r="H12" s="2"/>
    </row>
    <row r="13" spans="2:15">
      <c r="B13" s="4">
        <v>45508</v>
      </c>
      <c r="C13" s="5"/>
      <c r="D13" s="3"/>
      <c r="E13" s="2"/>
      <c r="F13" s="2"/>
      <c r="G13" s="2"/>
      <c r="H13" s="2"/>
    </row>
    <row r="14" spans="2:15">
      <c r="B14" s="4">
        <v>45509</v>
      </c>
      <c r="C14" s="5"/>
      <c r="D14" s="3"/>
      <c r="E14" s="2"/>
      <c r="F14" s="2"/>
      <c r="G14" s="2"/>
      <c r="H14" s="2"/>
    </row>
    <row r="15" spans="2:15">
      <c r="B15" s="4">
        <v>45510</v>
      </c>
      <c r="C15" s="5"/>
      <c r="D15" s="3"/>
      <c r="E15" s="2"/>
      <c r="F15" s="2"/>
      <c r="G15" s="2"/>
      <c r="H15" s="2"/>
    </row>
    <row r="16" spans="2:15">
      <c r="B16" s="4">
        <v>45511</v>
      </c>
      <c r="C16" s="5"/>
      <c r="D16" s="3"/>
      <c r="E16" s="2"/>
      <c r="F16" s="2"/>
      <c r="G16" s="2"/>
      <c r="H16" s="2"/>
    </row>
    <row r="17" spans="2:8">
      <c r="B17" s="4">
        <v>45512</v>
      </c>
      <c r="C17" s="5"/>
      <c r="D17" s="3"/>
      <c r="E17" s="2"/>
      <c r="F17" s="2"/>
      <c r="G17" s="2"/>
      <c r="H17" s="2"/>
    </row>
    <row r="18" spans="2:8">
      <c r="B18" s="4">
        <v>45513</v>
      </c>
      <c r="C18" s="5"/>
      <c r="D18" s="3"/>
      <c r="E18" s="2"/>
      <c r="F18" s="2"/>
      <c r="G18" s="2"/>
      <c r="H18" s="2"/>
    </row>
    <row r="19" spans="2:8">
      <c r="B19" s="4">
        <v>45514</v>
      </c>
      <c r="C19" s="5"/>
      <c r="D19" s="3"/>
      <c r="E19" s="2"/>
      <c r="F19" s="2"/>
      <c r="G19" s="2"/>
      <c r="H19" s="2"/>
    </row>
    <row r="20" spans="2:8">
      <c r="B20" s="4">
        <v>45515</v>
      </c>
      <c r="C20" s="5"/>
      <c r="D20" s="3">
        <v>30000</v>
      </c>
      <c r="E20" s="2" t="s">
        <v>8</v>
      </c>
      <c r="F20" s="2" t="s">
        <v>15</v>
      </c>
      <c r="G20" s="2" t="s">
        <v>14</v>
      </c>
      <c r="H20" s="2"/>
    </row>
    <row r="21" spans="2:8">
      <c r="B21" s="4">
        <v>45516</v>
      </c>
      <c r="C21" s="5"/>
      <c r="D21" s="3"/>
      <c r="E21" s="2"/>
      <c r="F21" s="2"/>
      <c r="G21" s="2"/>
      <c r="H21" s="2"/>
    </row>
    <row r="22" spans="2:8">
      <c r="B22" s="4">
        <v>45517</v>
      </c>
      <c r="C22" s="5">
        <v>90000</v>
      </c>
      <c r="D22" s="3"/>
      <c r="E22" s="2"/>
      <c r="F22" s="2" t="s">
        <v>7</v>
      </c>
      <c r="G22" s="2"/>
      <c r="H22" s="2"/>
    </row>
    <row r="23" spans="2:8">
      <c r="B23" s="4">
        <v>45518</v>
      </c>
      <c r="C23" s="5"/>
      <c r="D23" s="3">
        <v>980</v>
      </c>
      <c r="E23" s="2" t="s">
        <v>5</v>
      </c>
      <c r="F23" s="2" t="s">
        <v>6</v>
      </c>
      <c r="G23" s="2"/>
      <c r="H23" s="2"/>
    </row>
    <row r="24" spans="2:8">
      <c r="B24" s="4"/>
      <c r="C24" s="5"/>
      <c r="D24" s="3">
        <v>500</v>
      </c>
      <c r="E24" s="2" t="s">
        <v>8</v>
      </c>
      <c r="F24" s="2" t="s">
        <v>9</v>
      </c>
      <c r="G24" s="2"/>
      <c r="H24" s="2"/>
    </row>
    <row r="25" spans="2:8">
      <c r="B25" s="4">
        <v>45519</v>
      </c>
      <c r="C25" s="5"/>
      <c r="D25" s="3">
        <v>3880</v>
      </c>
      <c r="E25" s="2" t="s">
        <v>82</v>
      </c>
      <c r="F25" s="2" t="s">
        <v>23</v>
      </c>
      <c r="G25" s="2"/>
      <c r="H25" s="2" t="s">
        <v>25</v>
      </c>
    </row>
    <row r="26" spans="2:8">
      <c r="B26" s="4"/>
      <c r="C26" s="5"/>
      <c r="D26" s="3">
        <v>1716</v>
      </c>
      <c r="E26" s="2" t="s">
        <v>5</v>
      </c>
      <c r="F26" s="2" t="s">
        <v>24</v>
      </c>
      <c r="G26" s="2"/>
      <c r="H26" s="2"/>
    </row>
    <row r="27" spans="2:8">
      <c r="B27" s="4">
        <v>45520</v>
      </c>
      <c r="C27" s="5"/>
      <c r="D27" s="3">
        <v>35980</v>
      </c>
      <c r="E27" s="2" t="s">
        <v>26</v>
      </c>
      <c r="F27" s="2" t="s">
        <v>6</v>
      </c>
      <c r="G27" s="2" t="s">
        <v>27</v>
      </c>
      <c r="H27" s="2"/>
    </row>
    <row r="28" spans="2:8">
      <c r="B28" s="4"/>
      <c r="C28" s="5"/>
      <c r="D28" s="3">
        <v>120</v>
      </c>
      <c r="E28" s="2" t="s">
        <v>28</v>
      </c>
      <c r="F28" s="2" t="s">
        <v>29</v>
      </c>
      <c r="G28" s="2"/>
      <c r="H28" s="2"/>
    </row>
    <row r="29" spans="2:8">
      <c r="B29" s="4"/>
      <c r="C29" s="5"/>
      <c r="D29" s="3">
        <v>2780</v>
      </c>
      <c r="E29" s="2" t="s">
        <v>82</v>
      </c>
      <c r="F29" s="2" t="s">
        <v>30</v>
      </c>
      <c r="G29" s="2"/>
      <c r="H29" s="2"/>
    </row>
    <row r="30" spans="2:8">
      <c r="B30" s="4">
        <v>45521</v>
      </c>
      <c r="C30" s="5"/>
      <c r="D30" s="3">
        <v>606</v>
      </c>
      <c r="E30" s="2" t="s">
        <v>31</v>
      </c>
      <c r="F30" s="2" t="s">
        <v>32</v>
      </c>
      <c r="G30" s="2" t="s">
        <v>33</v>
      </c>
      <c r="H30" s="2" t="s">
        <v>34</v>
      </c>
    </row>
    <row r="31" spans="2:8">
      <c r="B31" s="4"/>
      <c r="C31" s="5"/>
      <c r="D31" s="3">
        <v>1376</v>
      </c>
      <c r="E31" s="2" t="s">
        <v>5</v>
      </c>
      <c r="F31" s="2" t="s">
        <v>48</v>
      </c>
      <c r="G31" s="2"/>
      <c r="H31" s="2"/>
    </row>
    <row r="32" spans="2:8">
      <c r="B32" s="4">
        <v>45522</v>
      </c>
      <c r="C32" s="5"/>
      <c r="D32" s="3">
        <v>400</v>
      </c>
      <c r="E32" s="2" t="s">
        <v>49</v>
      </c>
      <c r="F32" s="2" t="s">
        <v>9</v>
      </c>
      <c r="G32" s="2"/>
      <c r="H32" s="2" t="s">
        <v>50</v>
      </c>
    </row>
    <row r="33" spans="2:8">
      <c r="B33" s="4"/>
      <c r="C33" s="5"/>
      <c r="D33" s="3">
        <v>160</v>
      </c>
      <c r="E33" s="2" t="s">
        <v>28</v>
      </c>
      <c r="F33" s="2" t="s">
        <v>9</v>
      </c>
      <c r="G33" s="2"/>
      <c r="H33" s="2"/>
    </row>
    <row r="34" spans="2:8">
      <c r="B34" s="4"/>
      <c r="C34" s="5"/>
      <c r="D34" s="3">
        <v>897</v>
      </c>
      <c r="E34" s="2" t="s">
        <v>5</v>
      </c>
      <c r="F34" s="2" t="s">
        <v>48</v>
      </c>
      <c r="G34" s="2"/>
      <c r="H34" s="2" t="s">
        <v>51</v>
      </c>
    </row>
    <row r="35" spans="2:8">
      <c r="B35" s="4">
        <v>45523</v>
      </c>
      <c r="C35" s="5"/>
      <c r="D35" s="3">
        <v>7480</v>
      </c>
      <c r="E35" s="2" t="s">
        <v>52</v>
      </c>
      <c r="F35" s="2" t="s">
        <v>48</v>
      </c>
      <c r="G35" s="2"/>
      <c r="H35" s="2" t="s">
        <v>53</v>
      </c>
    </row>
    <row r="36" spans="2:8">
      <c r="B36" s="4"/>
      <c r="C36" s="5"/>
      <c r="D36" s="3">
        <v>968</v>
      </c>
      <c r="E36" s="2" t="s">
        <v>54</v>
      </c>
      <c r="F36" s="2" t="s">
        <v>32</v>
      </c>
      <c r="G36" s="2"/>
      <c r="H36" s="2" t="s">
        <v>55</v>
      </c>
    </row>
    <row r="37" spans="2:8">
      <c r="B37" s="4"/>
      <c r="C37" s="5"/>
      <c r="D37" s="3">
        <v>280</v>
      </c>
      <c r="E37" s="2" t="s">
        <v>28</v>
      </c>
      <c r="F37" s="2" t="s">
        <v>30</v>
      </c>
      <c r="G37" s="2"/>
      <c r="H37" s="2" t="s">
        <v>56</v>
      </c>
    </row>
    <row r="38" spans="2:8">
      <c r="B38" s="4">
        <v>45524</v>
      </c>
      <c r="C38" s="22">
        <v>496471</v>
      </c>
      <c r="D38" s="3"/>
      <c r="E38" s="2" t="s">
        <v>57</v>
      </c>
      <c r="F38" s="2"/>
      <c r="G38" s="2"/>
      <c r="H38" s="2" t="s">
        <v>47</v>
      </c>
    </row>
    <row r="39" spans="2:8">
      <c r="B39" s="4"/>
      <c r="C39" s="22">
        <v>35238</v>
      </c>
      <c r="D39" s="3"/>
      <c r="E39" s="2" t="s">
        <v>8</v>
      </c>
      <c r="F39" s="2"/>
      <c r="G39" s="2"/>
      <c r="H39" s="2" t="s">
        <v>47</v>
      </c>
    </row>
    <row r="40" spans="2:8">
      <c r="B40" s="4"/>
      <c r="C40" s="5"/>
      <c r="D40" s="3">
        <v>100000</v>
      </c>
      <c r="E40" s="2" t="s">
        <v>59</v>
      </c>
      <c r="F40" s="2" t="s">
        <v>60</v>
      </c>
      <c r="G40" s="2"/>
      <c r="H40" s="2" t="s">
        <v>61</v>
      </c>
    </row>
    <row r="41" spans="2:8">
      <c r="B41" s="4"/>
      <c r="C41" s="5"/>
      <c r="D41" s="3">
        <v>8600</v>
      </c>
      <c r="E41" s="2" t="s">
        <v>62</v>
      </c>
      <c r="F41" s="2"/>
      <c r="G41" s="2"/>
      <c r="H41" s="2"/>
    </row>
    <row r="42" spans="2:8">
      <c r="B42" s="4"/>
      <c r="C42" s="5"/>
      <c r="D42" s="3">
        <v>4382</v>
      </c>
      <c r="E42" s="2" t="s">
        <v>63</v>
      </c>
      <c r="F42" s="2" t="s">
        <v>32</v>
      </c>
      <c r="G42" s="2"/>
      <c r="H42" s="2"/>
    </row>
    <row r="43" spans="2:8">
      <c r="B43" s="4">
        <v>45525</v>
      </c>
      <c r="C43" s="5"/>
      <c r="D43" s="3">
        <v>764</v>
      </c>
      <c r="E43" s="2" t="s">
        <v>5</v>
      </c>
      <c r="F43" s="2" t="s">
        <v>6</v>
      </c>
      <c r="G43" s="2"/>
      <c r="H43" s="2"/>
    </row>
    <row r="44" spans="2:8">
      <c r="B44" s="4"/>
      <c r="C44" s="5"/>
      <c r="D44" s="3">
        <v>918</v>
      </c>
      <c r="E44" s="2" t="s">
        <v>5</v>
      </c>
      <c r="F44" s="2" t="s">
        <v>6</v>
      </c>
      <c r="G44" s="2"/>
      <c r="H44" s="2"/>
    </row>
    <row r="45" spans="2:8">
      <c r="B45" s="4"/>
      <c r="C45" s="5"/>
      <c r="D45" s="3">
        <v>2760</v>
      </c>
      <c r="E45" s="2" t="s">
        <v>28</v>
      </c>
      <c r="F45" s="2" t="s">
        <v>30</v>
      </c>
      <c r="G45" s="2"/>
      <c r="H45" s="2" t="s">
        <v>56</v>
      </c>
    </row>
    <row r="46" spans="2:8">
      <c r="B46" s="4"/>
      <c r="C46" s="5"/>
      <c r="D46" s="3">
        <v>36720</v>
      </c>
      <c r="E46" s="2" t="s">
        <v>99</v>
      </c>
      <c r="F46" s="2" t="s">
        <v>6</v>
      </c>
      <c r="G46" s="2"/>
      <c r="H46" s="2"/>
    </row>
    <row r="47" spans="2:8">
      <c r="B47" s="4">
        <v>45526</v>
      </c>
      <c r="C47" s="5"/>
      <c r="D47" s="3">
        <v>398</v>
      </c>
      <c r="E47" s="2" t="s">
        <v>66</v>
      </c>
      <c r="F47" s="2" t="s">
        <v>64</v>
      </c>
      <c r="G47" s="2"/>
      <c r="H47" s="2" t="s">
        <v>65</v>
      </c>
    </row>
    <row r="48" spans="2:8">
      <c r="B48" s="4"/>
      <c r="C48" s="5"/>
      <c r="D48" s="3">
        <v>10880</v>
      </c>
      <c r="E48" s="2" t="s">
        <v>66</v>
      </c>
      <c r="F48" s="2" t="s">
        <v>67</v>
      </c>
      <c r="G48" s="2"/>
      <c r="H48" s="2" t="s">
        <v>68</v>
      </c>
    </row>
    <row r="49" spans="2:8">
      <c r="B49" s="4"/>
      <c r="C49" s="5"/>
      <c r="D49" s="3">
        <v>580</v>
      </c>
      <c r="E49" s="2" t="s">
        <v>92</v>
      </c>
      <c r="F49" s="2" t="s">
        <v>69</v>
      </c>
      <c r="G49" s="2"/>
      <c r="H49" s="2"/>
    </row>
    <row r="50" spans="2:8">
      <c r="B50" s="4"/>
      <c r="C50" s="5"/>
      <c r="D50" s="3">
        <v>540</v>
      </c>
      <c r="E50" s="2" t="s">
        <v>91</v>
      </c>
      <c r="F50" s="2" t="s">
        <v>70</v>
      </c>
      <c r="G50" s="2"/>
      <c r="H50" s="2" t="s">
        <v>71</v>
      </c>
    </row>
    <row r="51" spans="2:8">
      <c r="B51" s="4"/>
      <c r="C51" s="5"/>
      <c r="D51" s="3">
        <v>750</v>
      </c>
      <c r="E51" s="2" t="s">
        <v>72</v>
      </c>
      <c r="F51" s="2" t="s">
        <v>70</v>
      </c>
      <c r="G51" s="2"/>
      <c r="H51" s="2" t="s">
        <v>73</v>
      </c>
    </row>
    <row r="52" spans="2:8">
      <c r="B52" s="4"/>
      <c r="C52" s="5"/>
      <c r="D52" s="3">
        <v>1120</v>
      </c>
      <c r="E52" s="2" t="s">
        <v>90</v>
      </c>
      <c r="F52" s="2" t="s">
        <v>74</v>
      </c>
      <c r="G52" s="2"/>
      <c r="H52" s="2"/>
    </row>
    <row r="53" spans="2:8">
      <c r="B53" s="4"/>
      <c r="C53" s="5"/>
      <c r="D53" s="3">
        <v>130</v>
      </c>
      <c r="E53" s="2" t="s">
        <v>95</v>
      </c>
      <c r="F53" s="2" t="s">
        <v>96</v>
      </c>
      <c r="G53" s="2"/>
      <c r="H53" s="2"/>
    </row>
    <row r="54" spans="2:8">
      <c r="B54" s="4">
        <v>45527</v>
      </c>
      <c r="C54" s="5"/>
      <c r="D54" s="3">
        <v>550</v>
      </c>
      <c r="E54" s="2" t="s">
        <v>89</v>
      </c>
      <c r="F54" s="2" t="s">
        <v>69</v>
      </c>
      <c r="G54" s="2"/>
      <c r="H54" s="2" t="s">
        <v>75</v>
      </c>
    </row>
    <row r="55" spans="2:8">
      <c r="B55" s="4"/>
      <c r="C55" s="5"/>
      <c r="D55" s="3">
        <v>1900</v>
      </c>
      <c r="E55" s="2" t="s">
        <v>88</v>
      </c>
      <c r="F55" s="2" t="s">
        <v>69</v>
      </c>
      <c r="G55" s="2"/>
      <c r="H55" s="2" t="s">
        <v>76</v>
      </c>
    </row>
    <row r="56" spans="2:8">
      <c r="B56" s="4"/>
      <c r="C56" s="5"/>
      <c r="D56" s="3">
        <v>130</v>
      </c>
      <c r="E56" s="2" t="s">
        <v>87</v>
      </c>
      <c r="F56" s="2" t="s">
        <v>69</v>
      </c>
      <c r="G56" s="2"/>
      <c r="H56" s="2" t="s">
        <v>28</v>
      </c>
    </row>
    <row r="57" spans="2:8">
      <c r="B57" s="4"/>
      <c r="C57" s="5"/>
      <c r="D57" s="3">
        <v>750</v>
      </c>
      <c r="E57" s="2" t="s">
        <v>72</v>
      </c>
      <c r="F57" s="2" t="s">
        <v>70</v>
      </c>
      <c r="G57" s="2"/>
      <c r="H57" s="2" t="s">
        <v>77</v>
      </c>
    </row>
    <row r="58" spans="2:8" ht="15" customHeight="1">
      <c r="B58" s="4">
        <v>45528</v>
      </c>
      <c r="C58" s="5"/>
      <c r="D58" s="3">
        <v>10310</v>
      </c>
      <c r="E58" s="2" t="s">
        <v>8</v>
      </c>
      <c r="F58" s="2" t="s">
        <v>67</v>
      </c>
      <c r="G58" s="2"/>
      <c r="H58" s="2" t="s">
        <v>78</v>
      </c>
    </row>
    <row r="59" spans="2:8" ht="15" customHeight="1">
      <c r="B59" s="4"/>
      <c r="C59" s="5"/>
      <c r="D59" s="3">
        <v>130</v>
      </c>
      <c r="E59" s="2" t="s">
        <v>85</v>
      </c>
      <c r="F59" s="2" t="s">
        <v>69</v>
      </c>
      <c r="G59" s="2"/>
      <c r="H59" s="2" t="s">
        <v>28</v>
      </c>
    </row>
    <row r="60" spans="2:8" ht="15" customHeight="1">
      <c r="B60" s="4"/>
      <c r="C60" s="5"/>
      <c r="D60" s="3">
        <v>50000</v>
      </c>
      <c r="E60" s="2" t="s">
        <v>79</v>
      </c>
      <c r="F60" s="2" t="s">
        <v>80</v>
      </c>
      <c r="G60" s="2"/>
      <c r="H60" s="2"/>
    </row>
    <row r="61" spans="2:8" ht="15" customHeight="1">
      <c r="B61" s="4"/>
      <c r="C61" s="5"/>
      <c r="D61" s="3">
        <v>250</v>
      </c>
      <c r="E61" s="2" t="s">
        <v>66</v>
      </c>
      <c r="F61" s="2" t="s">
        <v>81</v>
      </c>
      <c r="G61" s="2"/>
      <c r="H61" s="2"/>
    </row>
    <row r="62" spans="2:8" ht="15" customHeight="1">
      <c r="B62" s="4"/>
      <c r="C62" s="5"/>
      <c r="D62" s="3">
        <v>5000</v>
      </c>
      <c r="E62" s="2" t="s">
        <v>86</v>
      </c>
      <c r="F62" s="2"/>
      <c r="G62" s="2"/>
      <c r="H62" s="2"/>
    </row>
    <row r="63" spans="2:8" ht="15" customHeight="1">
      <c r="B63" s="4"/>
      <c r="C63" s="5"/>
      <c r="D63" s="3">
        <v>4760</v>
      </c>
      <c r="E63" s="2" t="s">
        <v>82</v>
      </c>
      <c r="F63" s="2" t="s">
        <v>30</v>
      </c>
      <c r="G63" s="2"/>
      <c r="H63" s="2"/>
    </row>
    <row r="64" spans="2:8">
      <c r="B64" s="4">
        <v>45529</v>
      </c>
      <c r="C64" s="5"/>
      <c r="D64" s="3">
        <v>1500</v>
      </c>
      <c r="E64" s="2" t="s">
        <v>84</v>
      </c>
      <c r="F64" s="2" t="s">
        <v>32</v>
      </c>
      <c r="G64" s="2"/>
      <c r="H64" s="2" t="s">
        <v>83</v>
      </c>
    </row>
    <row r="65" spans="2:8">
      <c r="B65" s="4"/>
      <c r="C65" s="5"/>
      <c r="D65" s="3">
        <v>1770</v>
      </c>
      <c r="E65" s="2" t="s">
        <v>5</v>
      </c>
      <c r="F65" s="2" t="s">
        <v>6</v>
      </c>
      <c r="G65" s="2"/>
      <c r="H65" s="2"/>
    </row>
    <row r="66" spans="2:8">
      <c r="B66" s="4"/>
      <c r="C66" s="5"/>
      <c r="D66" s="3">
        <v>2976</v>
      </c>
      <c r="E66" s="2" t="s">
        <v>5</v>
      </c>
      <c r="F66" s="2" t="s">
        <v>6</v>
      </c>
      <c r="G66" s="2"/>
      <c r="H66" s="2"/>
    </row>
    <row r="67" spans="2:8">
      <c r="B67" s="4">
        <v>45530</v>
      </c>
      <c r="C67" s="5"/>
      <c r="D67" s="3">
        <v>5000</v>
      </c>
      <c r="E67" s="2" t="s">
        <v>62</v>
      </c>
      <c r="F67" s="2"/>
      <c r="G67" s="2"/>
      <c r="H67" s="2"/>
    </row>
    <row r="68" spans="2:8">
      <c r="B68" s="4"/>
      <c r="C68" s="5"/>
      <c r="D68" s="3">
        <v>3550</v>
      </c>
      <c r="E68" s="2" t="s">
        <v>82</v>
      </c>
      <c r="F68" s="2" t="s">
        <v>30</v>
      </c>
      <c r="G68" s="2"/>
      <c r="H68" s="2"/>
    </row>
    <row r="69" spans="2:8">
      <c r="B69" s="4"/>
      <c r="C69" s="5"/>
      <c r="D69" s="3">
        <v>774</v>
      </c>
      <c r="E69" s="2" t="s">
        <v>5</v>
      </c>
      <c r="F69" s="2" t="s">
        <v>6</v>
      </c>
      <c r="G69" s="2"/>
      <c r="H69" s="2"/>
    </row>
    <row r="70" spans="2:8">
      <c r="B70" s="4">
        <v>45531</v>
      </c>
      <c r="C70" s="5"/>
      <c r="D70" s="3">
        <v>50000</v>
      </c>
      <c r="E70" s="2" t="s">
        <v>93</v>
      </c>
      <c r="F70" s="2" t="s">
        <v>80</v>
      </c>
      <c r="G70" s="2"/>
      <c r="H70" s="2"/>
    </row>
    <row r="71" spans="2:8">
      <c r="B71" s="4"/>
      <c r="C71" s="5"/>
      <c r="D71" s="3">
        <v>63630</v>
      </c>
      <c r="E71" s="2" t="s">
        <v>6</v>
      </c>
      <c r="F71" s="2" t="s">
        <v>94</v>
      </c>
      <c r="G71" s="2"/>
      <c r="H71" s="2"/>
    </row>
    <row r="72" spans="2:8">
      <c r="B72" s="4"/>
      <c r="C72" s="5"/>
      <c r="D72" s="3">
        <v>2500</v>
      </c>
      <c r="E72" s="2" t="s">
        <v>32</v>
      </c>
      <c r="F72" s="2"/>
      <c r="G72" s="2"/>
      <c r="H72" s="2" t="s">
        <v>83</v>
      </c>
    </row>
    <row r="73" spans="2:8">
      <c r="B73" s="4">
        <v>45532</v>
      </c>
      <c r="C73" s="5"/>
      <c r="D73" s="3">
        <v>5110</v>
      </c>
      <c r="E73" s="2" t="s">
        <v>82</v>
      </c>
      <c r="F73" s="2" t="s">
        <v>30</v>
      </c>
      <c r="G73" s="2"/>
      <c r="H73" s="2"/>
    </row>
    <row r="74" spans="2:8">
      <c r="B74" s="4">
        <v>45533</v>
      </c>
      <c r="C74" s="5"/>
      <c r="D74" s="3">
        <v>2290</v>
      </c>
      <c r="E74" s="2" t="s">
        <v>5</v>
      </c>
      <c r="F74" s="2" t="s">
        <v>6</v>
      </c>
      <c r="G74" s="2"/>
      <c r="H74" s="2"/>
    </row>
    <row r="75" spans="2:8">
      <c r="B75" s="4">
        <v>45534</v>
      </c>
      <c r="C75" s="5"/>
      <c r="D75" s="3">
        <v>4800</v>
      </c>
      <c r="E75" s="2" t="s">
        <v>62</v>
      </c>
      <c r="F75" s="2" t="s">
        <v>30</v>
      </c>
      <c r="G75" s="2"/>
      <c r="H75" s="2"/>
    </row>
    <row r="76" spans="2:8">
      <c r="B76" s="13"/>
      <c r="C76" s="6"/>
      <c r="D76" s="7">
        <v>820</v>
      </c>
      <c r="E76" s="8" t="s">
        <v>82</v>
      </c>
      <c r="F76" s="8" t="s">
        <v>30</v>
      </c>
      <c r="G76" s="8"/>
      <c r="H76" s="8"/>
    </row>
    <row r="77" spans="2:8">
      <c r="B77" s="13"/>
      <c r="C77" s="6"/>
      <c r="D77" s="7">
        <v>1706</v>
      </c>
      <c r="E77" s="8" t="s">
        <v>5</v>
      </c>
      <c r="F77" s="8" t="s">
        <v>6</v>
      </c>
      <c r="G77" s="8"/>
      <c r="H77" s="8"/>
    </row>
    <row r="78" spans="2:8">
      <c r="B78" s="4">
        <v>45535</v>
      </c>
      <c r="C78" s="5"/>
      <c r="D78" s="3">
        <v>1500</v>
      </c>
      <c r="E78" s="2" t="s">
        <v>102</v>
      </c>
      <c r="F78" s="27" t="s">
        <v>32</v>
      </c>
      <c r="G78" s="2"/>
      <c r="H78" s="2" t="s">
        <v>83</v>
      </c>
    </row>
    <row r="79" spans="2:8" ht="21" thickBot="1">
      <c r="B79" s="23"/>
      <c r="C79" s="24"/>
      <c r="D79" s="25">
        <v>2030</v>
      </c>
      <c r="E79" s="26" t="s">
        <v>5</v>
      </c>
      <c r="F79" s="26" t="s">
        <v>6</v>
      </c>
      <c r="G79" s="26"/>
      <c r="H79" s="26"/>
    </row>
    <row r="80" spans="2:8" ht="21" thickTop="1">
      <c r="B80" s="14" t="s">
        <v>46</v>
      </c>
      <c r="C80" s="15">
        <f>SUM(C20:C78)</f>
        <v>621709</v>
      </c>
      <c r="D80" s="16">
        <f>SUM(D20:D79)</f>
        <v>480401</v>
      </c>
      <c r="E80" s="17"/>
      <c r="F80" s="17"/>
      <c r="G80" s="17"/>
      <c r="H80" s="17"/>
    </row>
  </sheetData>
  <autoFilter ref="B9:O80" xr:uid="{2287FE02-E958-6146-BBAD-CCC402168E61}"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4F99C-2950-3742-8F70-ECE47948F389}">
  <dimension ref="B2:C16"/>
  <sheetViews>
    <sheetView workbookViewId="0">
      <selection activeCell="F10" sqref="F10"/>
    </sheetView>
  </sheetViews>
  <sheetFormatPr baseColWidth="10" defaultColWidth="10.7109375" defaultRowHeight="20"/>
  <cols>
    <col min="2" max="2" width="13.85546875" bestFit="1" customWidth="1"/>
    <col min="3" max="3" width="13.42578125" style="1" customWidth="1"/>
  </cols>
  <sheetData>
    <row r="2" spans="2:3">
      <c r="B2" t="s">
        <v>35</v>
      </c>
      <c r="C2" s="1">
        <v>550000</v>
      </c>
    </row>
    <row r="4" spans="2:3">
      <c r="B4" t="s">
        <v>36</v>
      </c>
      <c r="C4" s="1">
        <v>130000</v>
      </c>
    </row>
    <row r="5" spans="2:3">
      <c r="B5" t="s">
        <v>37</v>
      </c>
      <c r="C5" s="1">
        <v>20000</v>
      </c>
    </row>
    <row r="6" spans="2:3">
      <c r="B6" t="s">
        <v>38</v>
      </c>
      <c r="C6" s="1">
        <v>20000</v>
      </c>
    </row>
    <row r="7" spans="2:3">
      <c r="B7" t="s">
        <v>39</v>
      </c>
      <c r="C7" s="1">
        <v>4000</v>
      </c>
    </row>
    <row r="8" spans="2:3">
      <c r="B8" t="s">
        <v>40</v>
      </c>
      <c r="C8" s="1">
        <v>120000</v>
      </c>
    </row>
    <row r="9" spans="2:3">
      <c r="B9" t="s">
        <v>41</v>
      </c>
      <c r="C9" s="1">
        <v>30000</v>
      </c>
    </row>
    <row r="10" spans="2:3">
      <c r="C10" s="1">
        <f>SUM(C4:C9)</f>
        <v>324000</v>
      </c>
    </row>
    <row r="13" spans="2:3">
      <c r="B13" t="s">
        <v>42</v>
      </c>
      <c r="C13" s="1">
        <f>C2-C10</f>
        <v>226000</v>
      </c>
    </row>
    <row r="15" spans="2:3">
      <c r="B15" t="s">
        <v>43</v>
      </c>
      <c r="C15" s="1">
        <v>10</v>
      </c>
    </row>
    <row r="16" spans="2:3">
      <c r="B16" t="s">
        <v>44</v>
      </c>
      <c r="C16" s="1">
        <v>10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1B78E-B33A-F542-B331-1ABDB647F9DA}">
  <dimension ref="B2:B4"/>
  <sheetViews>
    <sheetView workbookViewId="0">
      <selection activeCell="B11" sqref="B11"/>
    </sheetView>
  </sheetViews>
  <sheetFormatPr baseColWidth="10" defaultColWidth="10.7109375" defaultRowHeight="20"/>
  <sheetData>
    <row r="2" spans="2:2">
      <c r="B2" t="s">
        <v>117</v>
      </c>
    </row>
    <row r="3" spans="2:2">
      <c r="B3" t="s">
        <v>118</v>
      </c>
    </row>
    <row r="4" spans="2:2">
      <c r="B4" t="s">
        <v>119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２０２４０9</vt:lpstr>
      <vt:lpstr>２０２４０８</vt:lpstr>
      <vt:lpstr>毎月の予算</vt:lpstr>
      <vt:lpstr>マネックス入金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元 和</dc:creator>
  <cp:lastModifiedBy>元 和田</cp:lastModifiedBy>
  <dcterms:created xsi:type="dcterms:W3CDTF">2024-08-14T05:53:46Z</dcterms:created>
  <dcterms:modified xsi:type="dcterms:W3CDTF">2026-05-03T01:28:23Z</dcterms:modified>
</cp:coreProperties>
</file>